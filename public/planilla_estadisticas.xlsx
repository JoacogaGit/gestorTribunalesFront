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. 2do sem. 2023 JCC" sheetId="1" r:id="rId5"/>
  </sheets>
  <definedNames/>
  <calcPr/>
</workbook>
</file>

<file path=xl/sharedStrings.xml><?xml version="1.0" encoding="utf-8"?>
<sst xmlns="http://schemas.openxmlformats.org/spreadsheetml/2006/main" count="112" uniqueCount="67">
  <si>
    <t>ESTADÍSTICAS:    1er SEMESTRE 2025  (DESDE EL 01/1/2025 AL 30/06/2025)</t>
  </si>
  <si>
    <t>JUZGADO NACIONAL EN LO CRIMINAL Y CORRECCIONAL N°</t>
  </si>
  <si>
    <t xml:space="preserve">Fiscalía de turno durante el semestre: </t>
  </si>
  <si>
    <t>Defensoría/s de turno durante el semestre:</t>
  </si>
  <si>
    <t>19/18</t>
  </si>
  <si>
    <t>Distritos de turno durante el semestre:</t>
  </si>
  <si>
    <t xml:space="preserve">CAUSAS EXISTENTES AL INICIO DEL PERÍODO  </t>
  </si>
  <si>
    <t xml:space="preserve">CAUSAS INGRESADAS DURANTE EL PERÍODO </t>
  </si>
  <si>
    <t xml:space="preserve">TOTAL DE CAUSAS EN TRÁMITE DEL PERÍODO </t>
  </si>
  <si>
    <t>Trámite</t>
  </si>
  <si>
    <t>C/det.</t>
  </si>
  <si>
    <t>s/det.</t>
  </si>
  <si>
    <t>TOTAL (A)</t>
  </si>
  <si>
    <t>TOTAL (B)</t>
  </si>
  <si>
    <t>S/det.</t>
  </si>
  <si>
    <t>TOTAL (C )</t>
  </si>
  <si>
    <t>Común</t>
  </si>
  <si>
    <t>Art. 196</t>
  </si>
  <si>
    <t>Flagr</t>
  </si>
  <si>
    <t>TOTAL</t>
  </si>
  <si>
    <r>
      <rPr>
        <rFont val="Arial"/>
        <b/>
        <color rgb="FF000000"/>
        <sz val="28.0"/>
      </rPr>
      <t>OBSERVACIONES</t>
    </r>
    <r>
      <rPr>
        <rFont val="Arial"/>
        <b val="0"/>
        <color rgb="FF000000"/>
        <sz val="28.0"/>
      </rPr>
      <t xml:space="preserve">: A + B = C (La suma entre el total de las causas existentes al inicio del período (A) y el total de las que ingresaron en el semetre (B ), arroja como </t>
    </r>
  </si>
  <si>
    <r>
      <rPr>
        <rFont val="Arial"/>
        <color rgb="FF000000"/>
        <sz val="28.0"/>
      </rPr>
      <t xml:space="preserve">resultado el total de causas en trámite en el semestre) </t>
    </r>
    <r>
      <rPr>
        <rFont val="Arial"/>
        <b/>
        <color rgb="FF000000"/>
        <sz val="28.0"/>
      </rPr>
      <t>VER TUTORIAL</t>
    </r>
  </si>
  <si>
    <t>DETALLE DE RESOLUCIONES QUE SE HAN ADOPTADO EN EL SEMESTRE</t>
  </si>
  <si>
    <t xml:space="preserve">Elev. A juicio </t>
  </si>
  <si>
    <t>Desestimación</t>
  </si>
  <si>
    <t>Sobreseimiento por prescripción</t>
  </si>
  <si>
    <t>Sobreseimiento otras causales</t>
  </si>
  <si>
    <t>Incompetencia</t>
  </si>
  <si>
    <t>Susp. Juicio</t>
  </si>
  <si>
    <t>J. abrev.</t>
  </si>
  <si>
    <t>Archivo</t>
  </si>
  <si>
    <t>otras formas</t>
  </si>
  <si>
    <t>SUB TOTALES</t>
  </si>
  <si>
    <t>TOTAL (D)</t>
  </si>
  <si>
    <t>C/DET</t>
  </si>
  <si>
    <t>S/DET</t>
  </si>
  <si>
    <t>Sub-totales</t>
  </si>
  <si>
    <t>Totales</t>
  </si>
  <si>
    <r>
      <rPr>
        <rFont val="Arial"/>
        <b/>
        <color rgb="FF000000"/>
        <sz val="28.0"/>
      </rPr>
      <t>OBSERVACIONES</t>
    </r>
    <r>
      <rPr>
        <rFont val="Arial"/>
        <b val="0"/>
        <color rgb="FF000000"/>
        <sz val="28.0"/>
      </rPr>
      <t xml:space="preserve">: Archivo (incluye Imposibilidad de proceder, rebeldía, otras). </t>
    </r>
    <r>
      <rPr>
        <rFont val="Arial"/>
        <b/>
        <color rgb="FF000000"/>
        <sz val="28.0"/>
      </rPr>
      <t>VER TUTORIAL</t>
    </r>
  </si>
  <si>
    <t xml:space="preserve">EN TRÁMITE AL CIERRE DEL PERÍODO </t>
  </si>
  <si>
    <t>TOTAL (E)</t>
  </si>
  <si>
    <t xml:space="preserve">OBSERVACIONES: </t>
  </si>
  <si>
    <t>La planilla calcula automaticamente los totales A, B, C, D y E.</t>
  </si>
  <si>
    <t>CHEQUEO: sera calculado por la resta entre el total de causas en trámtie del período (C ) y el total de causas que se han resuelto (D), arrojará  el total de causas en</t>
  </si>
  <si>
    <r>
      <rPr>
        <rFont val="Arial"/>
        <color rgb="FF000000"/>
        <sz val="28.0"/>
      </rPr>
      <t>trámite al final del semestre (E).</t>
    </r>
    <r>
      <rPr>
        <rFont val="Arial"/>
        <b/>
        <color rgb="FF000000"/>
        <sz val="28.0"/>
      </rPr>
      <t xml:space="preserve"> VER TUTORIAL</t>
    </r>
  </si>
  <si>
    <t>HÁBEAS CORPUS</t>
  </si>
  <si>
    <t>Ingresados</t>
  </si>
  <si>
    <t>Resolución</t>
  </si>
  <si>
    <t>Rechazados</t>
  </si>
  <si>
    <t>Incompetencias</t>
  </si>
  <si>
    <t>Desistidos</t>
  </si>
  <si>
    <t>Procedentes sin aud. Del art. 14</t>
  </si>
  <si>
    <r>
      <rPr>
        <rFont val="Arial"/>
        <b/>
        <color rgb="FF000000"/>
        <sz val="28.0"/>
      </rPr>
      <t xml:space="preserve">Procedentes </t>
    </r>
    <r>
      <rPr>
        <rFont val="Arial"/>
        <b/>
        <color rgb="FF000000"/>
        <sz val="28.0"/>
        <u/>
      </rPr>
      <t>con</t>
    </r>
    <r>
      <rPr>
        <rFont val="Arial"/>
        <b/>
        <color rgb="FF000000"/>
        <sz val="28.0"/>
      </rPr>
      <t xml:space="preserve"> aud. Del art. 14</t>
    </r>
  </si>
  <si>
    <r>
      <rPr>
        <rFont val="Arial"/>
        <b/>
        <color rgb="FF000000"/>
        <sz val="28.0"/>
      </rPr>
      <t>OBSERVACIONES</t>
    </r>
    <r>
      <rPr>
        <rFont val="Arial"/>
        <b val="0"/>
        <color rgb="FF000000"/>
        <sz val="28.0"/>
      </rPr>
      <t xml:space="preserve">: El total es el resultado de los tipos de resoluciones adoptadas </t>
    </r>
  </si>
  <si>
    <t>FLAGRANCIA</t>
  </si>
  <si>
    <t>Audiencias</t>
  </si>
  <si>
    <t>Virtuales</t>
  </si>
  <si>
    <t>Presenciales</t>
  </si>
  <si>
    <t>NÚMERO DE CAUSAS LEY 26.485 (VIOLENCIA DE GÉNERO)</t>
  </si>
  <si>
    <t>CANTIDAD</t>
  </si>
  <si>
    <t>Femicidio</t>
  </si>
  <si>
    <t>Transfemicidio</t>
  </si>
  <si>
    <t>Femicidio vinculado</t>
  </si>
  <si>
    <t>Lesiones</t>
  </si>
  <si>
    <t>Amenazas/coacción</t>
  </si>
  <si>
    <t>Abuso sexual</t>
  </si>
  <si>
    <t>Otras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</si>
</sst>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"/>
  </numFmts>
  <fonts count="12">
    <font>
      <sz val="10.0"/>
      <color rgb="FF000000"/>
      <name val="Arial"/>
      <scheme val="minor"/>
    </font>
    <font>
      <sz val="10.0"/>
      <color rgb="FF000000"/>
      <name val="Arial"/>
    </font>
    <font>
      <sz val="28.0"/>
      <color rgb="FF000000"/>
      <name val="Arial"/>
    </font>
    <font>
      <b/>
      <sz val="32.0"/>
      <color rgb="FF000000"/>
      <name val="Arial"/>
    </font>
    <font>
      <b/>
      <sz val="28.0"/>
      <color rgb="FF000000"/>
      <name val="Arial"/>
    </font>
    <font/>
    <font>
      <b/>
      <sz val="24.0"/>
      <color rgb="FF000000"/>
      <name val="Calibri"/>
    </font>
    <font>
      <b/>
      <sz val="24.0"/>
      <color rgb="FF000000"/>
      <name val="Arial"/>
    </font>
    <font>
      <sz val="40.0"/>
      <color rgb="FF000000"/>
      <name val="Arial"/>
    </font>
    <font>
      <sz val="22.0"/>
      <color rgb="FF000000"/>
      <name val="Arial"/>
    </font>
    <font>
      <b/>
      <sz val="22.0"/>
      <color rgb="FF000000"/>
      <name val="Arial"/>
    </font>
    <font>
      <sz val="24.0"/>
      <color rgb="FF000000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CFE7F5"/>
        <bgColor rgb="FFCFE7F5"/>
      </patternFill>
    </fill>
    <fill>
      <patternFill patternType="solid">
        <fgColor rgb="FFE6E6FF"/>
        <bgColor rgb="FFE6E6FF"/>
      </patternFill>
    </fill>
    <fill>
      <patternFill patternType="solid">
        <fgColor rgb="FF83CAFF"/>
        <bgColor rgb="FF83CAFF"/>
      </patternFill>
    </fill>
    <fill>
      <patternFill patternType="solid">
        <fgColor rgb="FFFF9999"/>
        <bgColor rgb="FFFF9999"/>
      </patternFill>
    </fill>
    <fill>
      <patternFill patternType="solid">
        <fgColor rgb="FFFFFFCC"/>
        <bgColor rgb="FFFFFFCC"/>
      </patternFill>
    </fill>
    <fill>
      <patternFill patternType="solid">
        <fgColor rgb="FF66CC99"/>
        <bgColor rgb="FF66CC99"/>
      </patternFill>
    </fill>
    <fill>
      <patternFill patternType="solid">
        <fgColor rgb="FFCC99FF"/>
        <bgColor rgb="FFCC99FF"/>
      </patternFill>
    </fill>
    <fill>
      <patternFill patternType="solid">
        <fgColor rgb="FFFFFFFF"/>
        <bgColor rgb="FFFFFFFF"/>
      </patternFill>
    </fill>
    <fill>
      <patternFill patternType="solid">
        <fgColor rgb="FFCCFFFF"/>
        <bgColor rgb="FFCCFFFF"/>
      </patternFill>
    </fill>
    <fill>
      <patternFill patternType="solid">
        <fgColor rgb="FF99CC99"/>
        <bgColor rgb="FF99CC99"/>
      </patternFill>
    </fill>
    <fill>
      <patternFill patternType="solid">
        <fgColor rgb="FF99CCFF"/>
        <bgColor rgb="FF99CCFF"/>
      </patternFill>
    </fill>
  </fills>
  <borders count="47">
    <border/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left/>
      <right/>
      <top style="hair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/>
      <right/>
      <top/>
      <bottom/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top style="thick">
        <color rgb="FF000000"/>
      </top>
      <bottom style="hair">
        <color rgb="FF000000"/>
      </bottom>
    </border>
    <border>
      <top style="thick">
        <color rgb="FF000000"/>
      </top>
      <bottom style="hair">
        <color rgb="FF000000"/>
      </bottom>
    </border>
    <border>
      <right style="thick">
        <color rgb="FF000000"/>
      </right>
      <top style="thick">
        <color rgb="FF000000"/>
      </top>
      <bottom style="hair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hair">
        <color rgb="FF000000"/>
      </left>
      <right style="hair">
        <color rgb="FF000000"/>
      </right>
    </border>
    <border>
      <left style="thick">
        <color rgb="FF000000"/>
      </left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</border>
    <border>
      <top style="hair">
        <color rgb="FF000000"/>
      </top>
    </border>
    <border>
      <left style="hair">
        <color rgb="FF000000"/>
      </left>
      <right style="thick">
        <color rgb="FF000000"/>
      </right>
      <top style="hair">
        <color rgb="FF000000"/>
      </top>
    </border>
    <border>
      <right style="hair">
        <color rgb="FF000000"/>
      </right>
    </border>
    <border>
      <left style="hair">
        <color rgb="FF000000"/>
      </left>
    </border>
    <border>
      <left style="hair">
        <color rgb="FF000000"/>
      </left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bottom style="hair">
        <color rgb="FF000000"/>
      </bottom>
    </border>
    <border>
      <bottom style="hair">
        <color rgb="FF000000"/>
      </bottom>
    </border>
    <border>
      <left style="hair">
        <color rgb="FF000000"/>
      </left>
      <right style="thick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thick">
        <color rgb="FF000000"/>
      </left>
      <top style="hair">
        <color rgb="FF000000"/>
      </top>
      <bottom style="thick">
        <color rgb="FF000000"/>
      </bottom>
    </border>
    <border>
      <right style="hair">
        <color rgb="FF000000"/>
      </right>
      <top style="hair">
        <color rgb="FF000000"/>
      </top>
      <bottom style="thick">
        <color rgb="FF000000"/>
      </bottom>
    </border>
    <border>
      <left style="hair">
        <color rgb="FF000000"/>
      </left>
      <top style="hair">
        <color rgb="FF000000"/>
      </top>
      <bottom style="thick">
        <color rgb="FF000000"/>
      </bottom>
    </border>
    <border>
      <top style="hair">
        <color rgb="FF000000"/>
      </top>
      <bottom style="thick">
        <color rgb="FF000000"/>
      </bottom>
    </border>
    <border>
      <left style="hair">
        <color rgb="FF000000"/>
      </left>
      <right style="thick">
        <color rgb="FF000000"/>
      </right>
      <top style="hair">
        <color rgb="FF000000"/>
      </top>
      <bottom style="thick">
        <color rgb="FF000000"/>
      </bottom>
    </border>
    <border>
      <right/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left" shrinkToFit="0" vertical="bottom" wrapText="0"/>
    </xf>
    <xf borderId="2" fillId="2" fontId="2" numFmtId="0" xfId="0" applyAlignment="1" applyBorder="1" applyFill="1" applyFont="1">
      <alignment shrinkToFit="0" vertical="bottom" wrapText="0"/>
    </xf>
    <xf borderId="3" fillId="2" fontId="2" numFmtId="0" xfId="0" applyAlignment="1" applyBorder="1" applyFill="1" applyFont="1">
      <alignment shrinkToFit="0" vertical="bottom" wrapText="0"/>
    </xf>
    <xf borderId="4" fillId="2" fontId="4" numFmtId="0" xfId="0" applyAlignment="1" applyBorder="1" applyFill="1" applyFont="1">
      <alignment horizontal="left" shrinkToFit="0" vertical="center" wrapText="0"/>
    </xf>
    <xf borderId="5" fillId="0" fontId="5" numFmtId="0" xfId="0" applyBorder="1" applyFont="1"/>
    <xf borderId="6" fillId="0" fontId="5" numFmtId="0" xfId="0" applyBorder="1" applyFont="1"/>
    <xf borderId="7" fillId="3" fontId="6" numFmtId="0" xfId="0" applyAlignment="1" applyBorder="1" applyFill="1" applyFont="1">
      <alignment horizontal="center" shrinkToFit="0" vertical="center" wrapText="1"/>
    </xf>
    <xf borderId="7" fillId="3" fontId="6" numFmtId="164" xfId="0" applyAlignment="1" applyBorder="1" applyFill="1" applyFont="1" applyNumberFormat="1">
      <alignment horizontal="center" shrinkToFit="0" vertical="center" wrapText="1"/>
    </xf>
    <xf borderId="4" fillId="4" fontId="4" numFmtId="0" xfId="0" applyAlignment="1" applyBorder="1" applyFill="1" applyFont="1">
      <alignment horizontal="center" shrinkToFit="0" vertical="center" wrapText="1"/>
    </xf>
    <xf borderId="7" fillId="0" fontId="4" numFmtId="0" xfId="0" applyAlignment="1" applyBorder="1" applyFont="1">
      <alignment horizontal="center" shrinkToFit="0" vertical="center" wrapText="0"/>
    </xf>
    <xf borderId="7" fillId="5" fontId="7" numFmtId="0" xfId="0" applyAlignment="1" applyBorder="1" applyFill="1" applyFont="1">
      <alignment horizontal="center" shrinkToFit="0" vertical="center" wrapText="0"/>
    </xf>
    <xf borderId="7" fillId="6" fontId="7" numFmtId="0" xfId="0" applyAlignment="1" applyBorder="1" applyFill="1" applyFont="1">
      <alignment horizontal="center" shrinkToFit="0" vertical="center" wrapText="0"/>
    </xf>
    <xf borderId="7" fillId="7" fontId="7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center" shrinkToFit="0" vertical="top" wrapText="1"/>
    </xf>
    <xf borderId="7" fillId="0" fontId="4" numFmtId="0" xfId="0" applyAlignment="1" applyBorder="1" applyFont="1">
      <alignment horizontal="center" shrinkToFit="0" vertical="bottom" wrapText="0"/>
    </xf>
    <xf borderId="7" fillId="5" fontId="2" numFmtId="0" xfId="0" applyAlignment="1" applyBorder="1" applyFill="1" applyFont="1">
      <alignment horizontal="center" shrinkToFit="0" vertical="bottom" wrapText="0"/>
    </xf>
    <xf borderId="7" fillId="6" fontId="2" numFmtId="0" xfId="0" applyAlignment="1" applyBorder="1" applyFill="1" applyFont="1">
      <alignment horizontal="center" shrinkToFit="0" vertical="bottom" wrapText="0"/>
    </xf>
    <xf borderId="7" fillId="7" fontId="4" numFmtId="0" xfId="0" applyAlignment="1" applyBorder="1" applyFill="1" applyFont="1">
      <alignment horizontal="center" shrinkToFit="0" vertical="bottom" wrapText="0"/>
    </xf>
    <xf borderId="0" fillId="0" fontId="8" numFmtId="0" xfId="0" applyAlignment="1" applyFont="1">
      <alignment horizontal="center" shrinkToFit="0" vertical="bottom" wrapText="0"/>
    </xf>
    <xf borderId="0" fillId="0" fontId="4" numFmtId="0" xfId="0" applyAlignment="1" applyFont="1">
      <alignment horizontal="center" shrinkToFit="0" vertical="bottom" wrapText="0"/>
    </xf>
    <xf borderId="7" fillId="8" fontId="4" numFmtId="0" xfId="0" applyAlignment="1" applyBorder="1" applyFill="1" applyFont="1">
      <alignment horizontal="center" shrinkToFit="0" vertical="center" wrapText="0"/>
    </xf>
    <xf borderId="7" fillId="7" fontId="4" numFmtId="0" xfId="0" applyAlignment="1" applyBorder="1" applyFill="1" applyFont="1">
      <alignment horizontal="center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shrinkToFit="0" vertical="bottom" wrapText="0"/>
    </xf>
    <xf borderId="8" fillId="9" fontId="2" numFmtId="0" xfId="0" applyAlignment="1" applyBorder="1" applyFill="1" applyFont="1">
      <alignment shrinkToFit="0" vertical="bottom" wrapText="0"/>
    </xf>
    <xf borderId="4" fillId="4" fontId="4" numFmtId="0" xfId="0" applyAlignment="1" applyBorder="1" applyFill="1" applyFont="1">
      <alignment horizontal="center" shrinkToFit="0" vertical="center" wrapText="0"/>
    </xf>
    <xf borderId="9" fillId="0" fontId="7" numFmtId="0" xfId="0" applyAlignment="1" applyBorder="1" applyFont="1">
      <alignment horizontal="center" shrinkToFit="0" vertical="center" wrapText="0"/>
    </xf>
    <xf borderId="4" fillId="10" fontId="7" numFmtId="0" xfId="0" applyAlignment="1" applyBorder="1" applyFill="1" applyFont="1">
      <alignment horizontal="left" shrinkToFit="0" vertical="center" wrapText="0"/>
    </xf>
    <xf borderId="4" fillId="10" fontId="7" numFmtId="0" xfId="0" applyAlignment="1" applyBorder="1" applyFill="1" applyFont="1">
      <alignment horizontal="center" shrinkToFit="0" vertical="center" wrapText="1"/>
    </xf>
    <xf borderId="4" fillId="2" fontId="7" numFmtId="0" xfId="0" applyAlignment="1" applyBorder="1" applyFill="1" applyFont="1">
      <alignment horizontal="center" shrinkToFit="0" vertical="center" wrapText="1"/>
    </xf>
    <xf borderId="9" fillId="7" fontId="4" numFmtId="0" xfId="0" applyAlignment="1" applyBorder="1" applyFill="1" applyFont="1">
      <alignment horizontal="center" shrinkToFit="0" vertical="center" wrapText="1"/>
    </xf>
    <xf borderId="10" fillId="0" fontId="5" numFmtId="0" xfId="0" applyBorder="1" applyFont="1"/>
    <xf borderId="7" fillId="5" fontId="7" numFmtId="0" xfId="0" applyAlignment="1" applyBorder="1" applyFill="1" applyFont="1">
      <alignment horizontal="center" shrinkToFit="0" vertical="bottom" wrapText="0"/>
    </xf>
    <xf borderId="7" fillId="6" fontId="7" numFmtId="0" xfId="0" applyAlignment="1" applyBorder="1" applyFill="1" applyFont="1">
      <alignment horizontal="center" shrinkToFit="0" vertical="bottom" wrapText="0"/>
    </xf>
    <xf borderId="7" fillId="2" fontId="7" numFmtId="0" xfId="0" applyAlignment="1" applyBorder="1" applyFill="1" applyFont="1">
      <alignment horizontal="center" shrinkToFit="0" vertical="bottom" wrapText="0"/>
    </xf>
    <xf borderId="7" fillId="0" fontId="7" numFmtId="0" xfId="0" applyAlignment="1" applyBorder="1" applyFont="1">
      <alignment horizontal="center" shrinkToFit="0" vertical="center" wrapText="0"/>
    </xf>
    <xf borderId="7" fillId="2" fontId="2" numFmtId="0" xfId="0" applyAlignment="1" applyBorder="1" applyFill="1" applyFont="1">
      <alignment horizontal="center" shrinkToFit="0" vertical="bottom" wrapText="0"/>
    </xf>
    <xf borderId="7" fillId="7" fontId="9" numFmtId="0" xfId="0" applyAlignment="1" applyBorder="1" applyFill="1" applyFont="1">
      <alignment horizontal="center" shrinkToFit="0" vertical="bottom" wrapText="0"/>
    </xf>
    <xf borderId="7" fillId="8" fontId="10" numFmtId="0" xfId="0" applyAlignment="1" applyBorder="1" applyFill="1" applyFont="1">
      <alignment horizontal="center" shrinkToFit="0" vertical="center" wrapText="0"/>
    </xf>
    <xf borderId="7" fillId="7" fontId="4" numFmtId="0" xfId="0" applyAlignment="1" applyBorder="1" applyFill="1" applyFont="1">
      <alignment horizontal="center" shrinkToFit="0" vertical="center" wrapText="1"/>
    </xf>
    <xf borderId="11" fillId="7" fontId="2" numFmtId="0" xfId="0" applyAlignment="1" applyBorder="1" applyFill="1" applyFont="1">
      <alignment horizontal="center" shrinkToFit="0" vertical="bottom" wrapText="0"/>
    </xf>
    <xf borderId="12" fillId="0" fontId="5" numFmtId="0" xfId="0" applyBorder="1" applyFont="1"/>
    <xf borderId="7" fillId="11" fontId="7" numFmtId="0" xfId="0" applyAlignment="1" applyBorder="1" applyFill="1" applyFont="1">
      <alignment horizontal="center" shrinkToFit="0" vertical="center" wrapText="0"/>
    </xf>
    <xf borderId="7" fillId="11" fontId="2" numFmtId="0" xfId="0" applyAlignment="1" applyBorder="1" applyFill="1" applyFont="1">
      <alignment horizontal="center" shrinkToFit="0" vertical="bottom" wrapText="0"/>
    </xf>
    <xf borderId="0" fillId="0" fontId="11" numFmtId="0" xfId="0" applyAlignment="1" applyFont="1">
      <alignment shrinkToFit="0" vertical="bottom" wrapText="0"/>
    </xf>
    <xf borderId="0" fillId="0" fontId="7" numFmtId="0" xfId="0" applyAlignment="1" applyFont="1">
      <alignment horizontal="center" shrinkToFit="0" vertical="bottom" wrapText="0"/>
    </xf>
    <xf borderId="8" fillId="9" fontId="4" numFmtId="0" xfId="0" applyAlignment="1" applyBorder="1" applyFill="1" applyFont="1">
      <alignment shrinkToFit="0" vertical="bottom" wrapText="0"/>
    </xf>
    <xf borderId="11" fillId="4" fontId="4" numFmtId="0" xfId="0" applyAlignment="1" applyBorder="1" applyFill="1" applyFont="1">
      <alignment horizontal="center" shrinkToFit="0" vertical="center" wrapText="0"/>
    </xf>
    <xf borderId="13" fillId="0" fontId="5" numFmtId="0" xfId="0" applyBorder="1" applyFont="1"/>
    <xf borderId="14" fillId="0" fontId="4" numFmtId="0" xfId="0" applyAlignment="1" applyBorder="1" applyFont="1">
      <alignment horizontal="center" shrinkToFit="0" vertical="center" wrapText="0"/>
    </xf>
    <xf borderId="15" fillId="0" fontId="5" numFmtId="0" xfId="0" applyBorder="1" applyFont="1"/>
    <xf borderId="16" fillId="0" fontId="5" numFmtId="0" xfId="0" applyBorder="1" applyFont="1"/>
    <xf borderId="17" fillId="10" fontId="1" numFmtId="0" xfId="0" applyAlignment="1" applyBorder="1" applyFill="1" applyFont="1">
      <alignment shrinkToFit="0" vertical="bottom" wrapText="0"/>
    </xf>
    <xf borderId="18" fillId="10" fontId="4" numFmtId="0" xfId="0" applyAlignment="1" applyBorder="1" applyFill="1" applyFont="1">
      <alignment horizontal="center" shrinkToFit="0" vertical="center" wrapText="0"/>
    </xf>
    <xf borderId="19" fillId="0" fontId="5" numFmtId="0" xfId="0" applyBorder="1" applyFont="1"/>
    <xf borderId="20" fillId="0" fontId="5" numFmtId="0" xfId="0" applyBorder="1" applyFont="1"/>
    <xf borderId="21" fillId="0" fontId="5" numFmtId="0" xfId="0" applyBorder="1" applyFont="1"/>
    <xf borderId="22" fillId="0" fontId="5" numFmtId="0" xfId="0" applyBorder="1" applyFont="1"/>
    <xf borderId="23" fillId="0" fontId="5" numFmtId="0" xfId="0" applyBorder="1" applyFont="1"/>
    <xf borderId="24" fillId="0" fontId="4" numFmtId="0" xfId="0" applyAlignment="1" applyBorder="1" applyFont="1">
      <alignment horizontal="center" shrinkToFit="0" vertical="center" wrapText="0"/>
    </xf>
    <xf borderId="25" fillId="0" fontId="5" numFmtId="0" xfId="0" applyBorder="1" applyFont="1"/>
    <xf borderId="26" fillId="0" fontId="4" numFmtId="0" xfId="0" applyAlignment="1" applyBorder="1" applyFont="1">
      <alignment horizontal="center" shrinkToFit="0" vertical="center" wrapText="0"/>
    </xf>
    <xf borderId="27" fillId="0" fontId="5" numFmtId="0" xfId="0" applyBorder="1" applyFont="1"/>
    <xf borderId="26" fillId="0" fontId="4" numFmtId="0" xfId="0" applyAlignment="1" applyBorder="1" applyFont="1">
      <alignment horizontal="center" shrinkToFit="0" vertical="center" wrapText="1"/>
    </xf>
    <xf borderId="28" fillId="7" fontId="4" numFmtId="0" xfId="0" applyAlignment="1" applyBorder="1" applyFill="1" applyFont="1">
      <alignment horizontal="center" shrinkToFit="0" vertical="center" wrapText="0"/>
    </xf>
    <xf borderId="29" fillId="0" fontId="5" numFmtId="0" xfId="0" applyBorder="1" applyFont="1"/>
    <xf borderId="30" fillId="0" fontId="5" numFmtId="0" xfId="0" applyBorder="1" applyFont="1"/>
    <xf borderId="31" fillId="0" fontId="5" numFmtId="0" xfId="0" applyBorder="1" applyFont="1"/>
    <xf borderId="32" fillId="0" fontId="5" numFmtId="0" xfId="0" applyBorder="1" applyFont="1"/>
    <xf borderId="33" fillId="0" fontId="5" numFmtId="0" xfId="0" applyBorder="1" applyFont="1"/>
    <xf borderId="34" fillId="0" fontId="5" numFmtId="0" xfId="0" applyBorder="1" applyFont="1"/>
    <xf borderId="35" fillId="0" fontId="5" numFmtId="0" xfId="0" applyBorder="1" applyFont="1"/>
    <xf borderId="36" fillId="0" fontId="5" numFmtId="0" xfId="0" applyBorder="1" applyFont="1"/>
    <xf borderId="37" fillId="0" fontId="5" numFmtId="0" xfId="0" applyBorder="1" applyFont="1"/>
    <xf borderId="38" fillId="0" fontId="5" numFmtId="0" xfId="0" applyBorder="1" applyFont="1"/>
    <xf borderId="39" fillId="0" fontId="5" numFmtId="0" xfId="0" applyBorder="1" applyFont="1"/>
    <xf borderId="4" fillId="6" fontId="2" numFmtId="0" xfId="0" applyAlignment="1" applyBorder="1" applyFill="1" applyFont="1">
      <alignment horizontal="center" shrinkToFit="0" vertical="bottom" wrapText="0"/>
    </xf>
    <xf borderId="40" fillId="0" fontId="5" numFmtId="0" xfId="0" applyBorder="1" applyFont="1"/>
    <xf borderId="41" fillId="6" fontId="2" numFmtId="0" xfId="0" applyAlignment="1" applyBorder="1" applyFill="1" applyFont="1">
      <alignment horizontal="center" shrinkToFit="0" vertical="bottom" wrapText="0"/>
    </xf>
    <xf borderId="42" fillId="0" fontId="5" numFmtId="0" xfId="0" applyBorder="1" applyFont="1"/>
    <xf borderId="43" fillId="6" fontId="2" numFmtId="0" xfId="0" applyAlignment="1" applyBorder="1" applyFill="1" applyFont="1">
      <alignment horizontal="center" shrinkToFit="0" vertical="bottom" wrapText="0"/>
    </xf>
    <xf borderId="44" fillId="0" fontId="5" numFmtId="0" xfId="0" applyBorder="1" applyFont="1"/>
    <xf borderId="45" fillId="7" fontId="7" numFmtId="0" xfId="0" applyAlignment="1" applyBorder="1" applyFill="1" applyFont="1">
      <alignment horizontal="center" shrinkToFit="0" vertical="center" wrapText="0"/>
    </xf>
    <xf borderId="4" fillId="10" fontId="4" numFmtId="0" xfId="0" applyAlignment="1" applyBorder="1" applyFill="1" applyFont="1">
      <alignment horizontal="center" shrinkToFit="0" vertical="bottom" wrapText="0"/>
    </xf>
    <xf borderId="4" fillId="0" fontId="4" numFmtId="0" xfId="0" applyAlignment="1" applyBorder="1" applyFont="1">
      <alignment horizontal="left" shrinkToFit="0" vertical="bottom" wrapText="0"/>
    </xf>
    <xf borderId="4" fillId="7" fontId="4" numFmtId="0" xfId="0" applyAlignment="1" applyBorder="1" applyFill="1" applyFont="1">
      <alignment horizontal="center" shrinkToFit="0" vertical="center" wrapText="1"/>
    </xf>
    <xf borderId="4" fillId="12" fontId="4" numFmtId="0" xfId="0" applyAlignment="1" applyBorder="1" applyFill="1" applyFont="1">
      <alignment horizontal="center" shrinkToFit="0" vertical="center" wrapText="1"/>
    </xf>
    <xf borderId="46" fillId="0" fontId="5" numFmtId="0" xfId="0" applyBorder="1" applyFont="1"/>
    <xf borderId="4" fillId="10" fontId="4" numFmtId="0" xfId="0" applyAlignment="1" applyBorder="1" applyFill="1" applyFont="1">
      <alignment horizontal="center" shrinkToFit="0" vertical="center" wrapText="0"/>
    </xf>
    <xf borderId="4" fillId="9" fontId="4" numFmtId="0" xfId="0" applyAlignment="1" applyBorder="1" applyFill="1" applyFont="1">
      <alignment shrinkToFit="0" vertical="bottom" wrapText="0"/>
    </xf>
    <xf borderId="4" fillId="7" fontId="4" numFmtId="0" xfId="0" applyAlignment="1" applyBorder="1" applyFill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3" width="31.63"/>
    <col customWidth="1" min="4" max="4" width="22.63"/>
    <col customWidth="1" min="5" max="5" width="26.38"/>
    <col customWidth="1" min="6" max="6" width="21.75"/>
    <col customWidth="1" min="7" max="7" width="32.5"/>
    <col customWidth="1" min="8" max="8" width="26.38"/>
    <col customWidth="1" min="9" max="9" width="27.88"/>
    <col customWidth="1" min="10" max="10" width="26.0"/>
    <col customWidth="1" min="11" max="11" width="19.88"/>
    <col customWidth="1" min="12" max="12" width="26.0"/>
    <col customWidth="1" min="13" max="14" width="20.75"/>
    <col customWidth="1" min="15" max="15" width="26.88"/>
    <col customWidth="1" min="16" max="16" width="23.13"/>
    <col customWidth="1" min="17" max="17" width="19.88"/>
    <col customWidth="1" min="18" max="18" width="20.75"/>
    <col customWidth="1" min="19" max="19" width="21.25"/>
    <col customWidth="1" min="20" max="20" width="20.75"/>
    <col customWidth="1" min="21" max="23" width="30.63"/>
    <col customWidth="1" min="24" max="24" width="15.75"/>
    <col customWidth="1" min="25" max="25" width="2.75"/>
    <col customWidth="1" min="26" max="27" width="44.0"/>
  </cols>
  <sheetData>
    <row r="1" hidden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19.25" customHeight="1">
      <c r="A2" s="2"/>
      <c r="B2" s="3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51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49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54.0" customHeight="1">
      <c r="A5" s="1"/>
      <c r="B5" s="6" t="s">
        <v>1</v>
      </c>
      <c r="C5" s="7"/>
      <c r="D5" s="7"/>
      <c r="E5" s="7"/>
      <c r="F5" s="7"/>
      <c r="G5" s="7"/>
      <c r="H5" s="8"/>
      <c r="I5" s="9">
        <v>23.0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54.0" customHeight="1">
      <c r="A6" s="1"/>
      <c r="B6" s="6" t="s">
        <v>2</v>
      </c>
      <c r="C6" s="7"/>
      <c r="D6" s="7"/>
      <c r="E6" s="7"/>
      <c r="F6" s="7"/>
      <c r="G6" s="7"/>
      <c r="H6" s="8"/>
      <c r="I6" s="9">
        <v>53.0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54.0" customHeight="1">
      <c r="A7" s="1"/>
      <c r="B7" s="6" t="s">
        <v>3</v>
      </c>
      <c r="C7" s="7"/>
      <c r="D7" s="7"/>
      <c r="E7" s="7"/>
      <c r="F7" s="7"/>
      <c r="G7" s="7"/>
      <c r="H7" s="8"/>
      <c r="I7" s="9" t="s">
        <v>4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54.0" customHeight="1">
      <c r="A8" s="1"/>
      <c r="B8" s="6" t="s">
        <v>5</v>
      </c>
      <c r="C8" s="7"/>
      <c r="D8" s="7"/>
      <c r="E8" s="7"/>
      <c r="F8" s="7"/>
      <c r="G8" s="7"/>
      <c r="H8" s="8"/>
      <c r="I8" s="10">
        <v>39238.0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54.0" customHeight="1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54.0" customHeight="1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54.0" customHeight="1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1"/>
      <c r="M11" s="1"/>
      <c r="N11" s="1"/>
      <c r="O11" s="1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79.5" customHeight="1">
      <c r="A12" s="1"/>
      <c r="B12" s="11" t="s">
        <v>6</v>
      </c>
      <c r="C12" s="7"/>
      <c r="D12" s="7"/>
      <c r="E12" s="8"/>
      <c r="F12" s="2"/>
      <c r="G12" s="11" t="s">
        <v>7</v>
      </c>
      <c r="H12" s="7"/>
      <c r="I12" s="7"/>
      <c r="J12" s="8"/>
      <c r="K12" s="2"/>
      <c r="L12" s="11" t="s">
        <v>8</v>
      </c>
      <c r="M12" s="7"/>
      <c r="N12" s="7"/>
      <c r="O12" s="8"/>
      <c r="P12" s="1"/>
      <c r="Q12" s="2"/>
      <c r="R12" s="2"/>
      <c r="S12" s="2"/>
      <c r="T12" s="1"/>
      <c r="U12" s="1"/>
      <c r="V12" s="1"/>
      <c r="W12" s="2"/>
      <c r="X12" s="2"/>
      <c r="Y12" s="2"/>
      <c r="Z12" s="2"/>
      <c r="AA12" s="2"/>
    </row>
    <row r="13" ht="72.0" customHeight="1">
      <c r="A13" s="1"/>
      <c r="B13" s="12" t="s">
        <v>9</v>
      </c>
      <c r="C13" s="13" t="s">
        <v>10</v>
      </c>
      <c r="D13" s="14" t="s">
        <v>11</v>
      </c>
      <c r="E13" s="15" t="s">
        <v>12</v>
      </c>
      <c r="F13" s="2"/>
      <c r="G13" s="12" t="s">
        <v>9</v>
      </c>
      <c r="H13" s="13" t="s">
        <v>10</v>
      </c>
      <c r="I13" s="14" t="s">
        <v>11</v>
      </c>
      <c r="J13" s="15" t="s">
        <v>13</v>
      </c>
      <c r="K13" s="2"/>
      <c r="L13" s="12" t="s">
        <v>9</v>
      </c>
      <c r="M13" s="13" t="s">
        <v>10</v>
      </c>
      <c r="N13" s="14" t="s">
        <v>14</v>
      </c>
      <c r="O13" s="15" t="s">
        <v>15</v>
      </c>
      <c r="P13" s="1"/>
      <c r="Q13" s="2"/>
      <c r="R13" s="2"/>
      <c r="S13" s="2"/>
      <c r="T13" s="2"/>
      <c r="U13" s="2"/>
      <c r="V13" s="2"/>
      <c r="W13" s="16"/>
      <c r="X13" s="2"/>
      <c r="Y13" s="2"/>
      <c r="Z13" s="2"/>
      <c r="AA13" s="2"/>
    </row>
    <row r="14" ht="54.0" customHeight="1">
      <c r="A14" s="1"/>
      <c r="B14" s="17" t="s">
        <v>16</v>
      </c>
      <c r="C14" s="18">
        <v>21.0</v>
      </c>
      <c r="D14" s="19">
        <v>300.0</v>
      </c>
      <c r="E14" s="20">
        <f t="shared" ref="E14:E16" si="2">+SUM(C14:D14)</f>
        <v>321</v>
      </c>
      <c r="F14" s="21"/>
      <c r="G14" s="17" t="s">
        <v>16</v>
      </c>
      <c r="H14" s="18">
        <v>14.0</v>
      </c>
      <c r="I14" s="19">
        <v>112.0</v>
      </c>
      <c r="J14" s="20">
        <f t="shared" ref="J14:J16" si="3">+SUM(H14+I14)</f>
        <v>126</v>
      </c>
      <c r="K14" s="2"/>
      <c r="L14" s="17" t="s">
        <v>16</v>
      </c>
      <c r="M14" s="18">
        <f t="shared" ref="M14:N14" si="1">+C14+H14</f>
        <v>35</v>
      </c>
      <c r="N14" s="19">
        <f t="shared" si="1"/>
        <v>412</v>
      </c>
      <c r="O14" s="20">
        <f t="shared" ref="O14:O16" si="5">+M14+N14</f>
        <v>447</v>
      </c>
      <c r="P14" s="1"/>
      <c r="Q14" s="2"/>
      <c r="R14" s="2"/>
      <c r="S14" s="2"/>
      <c r="T14" s="2"/>
      <c r="U14" s="2"/>
      <c r="V14" s="2"/>
      <c r="W14" s="22"/>
      <c r="X14" s="2"/>
      <c r="Y14" s="2"/>
      <c r="Z14" s="2"/>
      <c r="AA14" s="2"/>
    </row>
    <row r="15" ht="54.0" customHeight="1">
      <c r="A15" s="1"/>
      <c r="B15" s="17" t="s">
        <v>17</v>
      </c>
      <c r="C15" s="18">
        <v>0.0</v>
      </c>
      <c r="D15" s="19">
        <v>102.0</v>
      </c>
      <c r="E15" s="20">
        <f t="shared" si="2"/>
        <v>102</v>
      </c>
      <c r="F15" s="2"/>
      <c r="G15" s="17" t="s">
        <v>17</v>
      </c>
      <c r="H15" s="18">
        <v>0.0</v>
      </c>
      <c r="I15" s="19">
        <v>63.0</v>
      </c>
      <c r="J15" s="20">
        <f t="shared" si="3"/>
        <v>63</v>
      </c>
      <c r="K15" s="2"/>
      <c r="L15" s="17" t="s">
        <v>17</v>
      </c>
      <c r="M15" s="18">
        <f t="shared" ref="M15:N15" si="4">+C15+H15</f>
        <v>0</v>
      </c>
      <c r="N15" s="19">
        <f t="shared" si="4"/>
        <v>165</v>
      </c>
      <c r="O15" s="20">
        <f t="shared" si="5"/>
        <v>165</v>
      </c>
      <c r="P15" s="1"/>
      <c r="Q15" s="2"/>
      <c r="R15" s="2"/>
      <c r="S15" s="2"/>
      <c r="T15" s="2"/>
      <c r="U15" s="2"/>
      <c r="V15" s="2"/>
      <c r="W15" s="22"/>
      <c r="X15" s="2"/>
      <c r="Y15" s="2"/>
      <c r="Z15" s="2"/>
      <c r="AA15" s="2"/>
    </row>
    <row r="16" ht="54.0" customHeight="1">
      <c r="A16" s="1"/>
      <c r="B16" s="17" t="s">
        <v>18</v>
      </c>
      <c r="C16" s="18">
        <v>0.0</v>
      </c>
      <c r="D16" s="19">
        <v>0.0</v>
      </c>
      <c r="E16" s="20">
        <f t="shared" si="2"/>
        <v>0</v>
      </c>
      <c r="F16" s="2"/>
      <c r="G16" s="17" t="s">
        <v>18</v>
      </c>
      <c r="H16" s="18">
        <v>9.0</v>
      </c>
      <c r="I16" s="19">
        <v>0.0</v>
      </c>
      <c r="J16" s="20">
        <f t="shared" si="3"/>
        <v>9</v>
      </c>
      <c r="K16" s="2"/>
      <c r="L16" s="17" t="s">
        <v>18</v>
      </c>
      <c r="M16" s="18">
        <f t="shared" ref="M16:N16" si="6">+C16+H16</f>
        <v>9</v>
      </c>
      <c r="N16" s="19">
        <f t="shared" si="6"/>
        <v>0</v>
      </c>
      <c r="O16" s="20">
        <f t="shared" si="5"/>
        <v>9</v>
      </c>
      <c r="P16" s="1"/>
      <c r="Q16" s="2"/>
      <c r="R16" s="2"/>
      <c r="S16" s="2"/>
      <c r="T16" s="2"/>
      <c r="U16" s="2"/>
      <c r="V16" s="2"/>
      <c r="W16" s="22"/>
      <c r="X16" s="2"/>
      <c r="Y16" s="2"/>
      <c r="Z16" s="2"/>
      <c r="AA16" s="2"/>
    </row>
    <row r="17" ht="54.0" customHeight="1">
      <c r="A17" s="1"/>
      <c r="B17" s="12" t="s">
        <v>19</v>
      </c>
      <c r="C17" s="23">
        <f t="shared" ref="C17:D17" si="7">SUM(C14:C16)</f>
        <v>21</v>
      </c>
      <c r="D17" s="23">
        <f t="shared" si="7"/>
        <v>402</v>
      </c>
      <c r="E17" s="24">
        <f>+SUM(E14:E16)</f>
        <v>423</v>
      </c>
      <c r="F17" s="2"/>
      <c r="G17" s="12" t="s">
        <v>19</v>
      </c>
      <c r="H17" s="23">
        <f t="shared" ref="H17:I17" si="8">SUM(H14:H16)</f>
        <v>23</v>
      </c>
      <c r="I17" s="23">
        <f t="shared" si="8"/>
        <v>175</v>
      </c>
      <c r="J17" s="24">
        <f>+SUM(J14:J16)</f>
        <v>198</v>
      </c>
      <c r="K17" s="2"/>
      <c r="L17" s="12" t="s">
        <v>19</v>
      </c>
      <c r="M17" s="23">
        <f t="shared" ref="M17:N17" si="9">SUM(M14:M16)</f>
        <v>44</v>
      </c>
      <c r="N17" s="23">
        <f t="shared" si="9"/>
        <v>577</v>
      </c>
      <c r="O17" s="24">
        <f>+SUM(O14:O16)</f>
        <v>621</v>
      </c>
      <c r="P17" s="1"/>
      <c r="Q17" s="2"/>
      <c r="R17" s="2"/>
      <c r="S17" s="2"/>
      <c r="T17" s="2"/>
      <c r="U17" s="2"/>
      <c r="V17" s="2"/>
      <c r="W17" s="25"/>
      <c r="X17" s="2"/>
      <c r="Y17" s="2"/>
      <c r="Z17" s="2"/>
      <c r="AA17" s="2"/>
    </row>
    <row r="18" ht="54.0" customHeight="1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54.0" customHeight="1">
      <c r="A19" s="1"/>
      <c r="B19" s="26" t="s">
        <v>20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54.0" customHeight="1">
      <c r="A20" s="1"/>
      <c r="B20" s="2" t="s">
        <v>21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54.0" customHeight="1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54.0" customHeight="1">
      <c r="A22" s="1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"/>
      <c r="Y22" s="2"/>
      <c r="Z22" s="2"/>
      <c r="AA22" s="2"/>
    </row>
    <row r="23" ht="91.5" customHeight="1">
      <c r="A23" s="1"/>
      <c r="B23" s="28" t="s">
        <v>22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8"/>
      <c r="X23" s="2"/>
      <c r="Y23" s="2"/>
      <c r="Z23" s="2"/>
      <c r="AA23" s="2"/>
    </row>
    <row r="24" ht="99.0" customHeight="1">
      <c r="A24" s="1"/>
      <c r="B24" s="29" t="s">
        <v>9</v>
      </c>
      <c r="C24" s="30" t="s">
        <v>23</v>
      </c>
      <c r="D24" s="8"/>
      <c r="E24" s="31" t="s">
        <v>24</v>
      </c>
      <c r="F24" s="8"/>
      <c r="G24" s="31" t="s">
        <v>25</v>
      </c>
      <c r="H24" s="8"/>
      <c r="I24" s="31" t="s">
        <v>26</v>
      </c>
      <c r="J24" s="8"/>
      <c r="K24" s="31" t="s">
        <v>27</v>
      </c>
      <c r="L24" s="8"/>
      <c r="M24" s="31" t="s">
        <v>28</v>
      </c>
      <c r="N24" s="8"/>
      <c r="O24" s="31" t="s">
        <v>29</v>
      </c>
      <c r="P24" s="8"/>
      <c r="Q24" s="31" t="s">
        <v>30</v>
      </c>
      <c r="R24" s="8"/>
      <c r="S24" s="31" t="s">
        <v>31</v>
      </c>
      <c r="T24" s="8"/>
      <c r="U24" s="32" t="s">
        <v>32</v>
      </c>
      <c r="V24" s="8"/>
      <c r="W24" s="33" t="s">
        <v>33</v>
      </c>
      <c r="X24" s="2"/>
      <c r="Y24" s="2"/>
      <c r="Z24" s="2"/>
      <c r="AA24" s="2"/>
    </row>
    <row r="25" ht="54.0" customHeight="1">
      <c r="A25" s="1"/>
      <c r="B25" s="34"/>
      <c r="C25" s="35" t="s">
        <v>10</v>
      </c>
      <c r="D25" s="36" t="s">
        <v>11</v>
      </c>
      <c r="E25" s="35" t="s">
        <v>10</v>
      </c>
      <c r="F25" s="36" t="s">
        <v>11</v>
      </c>
      <c r="G25" s="35" t="s">
        <v>10</v>
      </c>
      <c r="H25" s="36" t="s">
        <v>11</v>
      </c>
      <c r="I25" s="35" t="s">
        <v>10</v>
      </c>
      <c r="J25" s="36" t="s">
        <v>11</v>
      </c>
      <c r="K25" s="35" t="s">
        <v>10</v>
      </c>
      <c r="L25" s="36" t="s">
        <v>11</v>
      </c>
      <c r="M25" s="35" t="s">
        <v>10</v>
      </c>
      <c r="N25" s="36" t="s">
        <v>11</v>
      </c>
      <c r="O25" s="35" t="s">
        <v>10</v>
      </c>
      <c r="P25" s="36" t="s">
        <v>11</v>
      </c>
      <c r="Q25" s="35" t="s">
        <v>10</v>
      </c>
      <c r="R25" s="36" t="s">
        <v>11</v>
      </c>
      <c r="S25" s="35" t="s">
        <v>10</v>
      </c>
      <c r="T25" s="36" t="s">
        <v>11</v>
      </c>
      <c r="U25" s="37" t="s">
        <v>34</v>
      </c>
      <c r="V25" s="37" t="s">
        <v>35</v>
      </c>
      <c r="W25" s="34"/>
      <c r="X25" s="2"/>
      <c r="Y25" s="2"/>
      <c r="Z25" s="2"/>
      <c r="AA25" s="2"/>
    </row>
    <row r="26" ht="54.0" customHeight="1">
      <c r="A26" s="1"/>
      <c r="B26" s="38" t="s">
        <v>16</v>
      </c>
      <c r="C26" s="18">
        <v>34.0</v>
      </c>
      <c r="D26" s="19">
        <v>17.0</v>
      </c>
      <c r="E26" s="18">
        <v>0.0</v>
      </c>
      <c r="F26" s="19">
        <v>0.0</v>
      </c>
      <c r="G26" s="18">
        <v>0.0</v>
      </c>
      <c r="H26" s="19">
        <v>20.0</v>
      </c>
      <c r="I26" s="18">
        <v>0.0</v>
      </c>
      <c r="J26" s="19">
        <v>51.0</v>
      </c>
      <c r="K26" s="18">
        <v>0.0</v>
      </c>
      <c r="L26" s="19">
        <v>34.0</v>
      </c>
      <c r="M26" s="18">
        <v>0.0</v>
      </c>
      <c r="N26" s="19">
        <v>0.0</v>
      </c>
      <c r="O26" s="18">
        <v>0.0</v>
      </c>
      <c r="P26" s="19">
        <v>0.0</v>
      </c>
      <c r="Q26" s="18">
        <v>0.0</v>
      </c>
      <c r="R26" s="19">
        <v>21.0</v>
      </c>
      <c r="S26" s="18">
        <v>0.0</v>
      </c>
      <c r="T26" s="19">
        <v>2.0</v>
      </c>
      <c r="U26" s="39">
        <f t="shared" ref="U26:V26" si="10">+C26+E26+G26+I26+K26+M26+O26+Q26+S26</f>
        <v>34</v>
      </c>
      <c r="V26" s="39">
        <f t="shared" si="10"/>
        <v>145</v>
      </c>
      <c r="W26" s="40">
        <f t="shared" ref="W26:W28" si="12">SUM(C26:T26)</f>
        <v>179</v>
      </c>
      <c r="X26" s="2"/>
      <c r="Y26" s="2"/>
      <c r="Z26" s="2"/>
      <c r="AA26" s="2"/>
    </row>
    <row r="27" ht="54.0" customHeight="1">
      <c r="A27" s="1"/>
      <c r="B27" s="38" t="s">
        <v>17</v>
      </c>
      <c r="C27" s="18">
        <v>0.0</v>
      </c>
      <c r="D27" s="19">
        <v>0.0</v>
      </c>
      <c r="E27" s="18">
        <v>0.0</v>
      </c>
      <c r="F27" s="19">
        <v>1.0</v>
      </c>
      <c r="G27" s="18">
        <v>0.0</v>
      </c>
      <c r="H27" s="19">
        <v>5.0</v>
      </c>
      <c r="I27" s="18">
        <v>0.0</v>
      </c>
      <c r="J27" s="19">
        <v>15.0</v>
      </c>
      <c r="K27" s="18">
        <v>0.0</v>
      </c>
      <c r="L27" s="19">
        <v>47.0</v>
      </c>
      <c r="M27" s="18">
        <v>0.0</v>
      </c>
      <c r="N27" s="19">
        <v>0.0</v>
      </c>
      <c r="O27" s="18">
        <v>0.0</v>
      </c>
      <c r="P27" s="19">
        <v>0.0</v>
      </c>
      <c r="Q27" s="18">
        <v>0.0</v>
      </c>
      <c r="R27" s="19">
        <v>19.0</v>
      </c>
      <c r="S27" s="18">
        <v>0.0</v>
      </c>
      <c r="T27" s="19">
        <v>3.0</v>
      </c>
      <c r="U27" s="39">
        <f t="shared" ref="U27:V27" si="11">+C27+E27+G27+I27+K27+M27+O27+Q27+S27</f>
        <v>0</v>
      </c>
      <c r="V27" s="39">
        <f t="shared" si="11"/>
        <v>90</v>
      </c>
      <c r="W27" s="40">
        <f t="shared" si="12"/>
        <v>90</v>
      </c>
      <c r="X27" s="2"/>
      <c r="Y27" s="2"/>
      <c r="Z27" s="2"/>
      <c r="AA27" s="2"/>
    </row>
    <row r="28" ht="54.0" customHeight="1">
      <c r="A28" s="1"/>
      <c r="B28" s="38" t="s">
        <v>18</v>
      </c>
      <c r="C28" s="18">
        <v>1.0</v>
      </c>
      <c r="D28" s="19">
        <v>0.0</v>
      </c>
      <c r="E28" s="18">
        <v>0.0</v>
      </c>
      <c r="F28" s="19">
        <v>0.0</v>
      </c>
      <c r="G28" s="18">
        <v>0.0</v>
      </c>
      <c r="H28" s="19">
        <v>0.0</v>
      </c>
      <c r="I28" s="18">
        <v>1.0</v>
      </c>
      <c r="J28" s="19">
        <v>0.0</v>
      </c>
      <c r="K28" s="18">
        <v>0.0</v>
      </c>
      <c r="L28" s="19">
        <v>0.0</v>
      </c>
      <c r="M28" s="18">
        <v>2.0</v>
      </c>
      <c r="N28" s="19">
        <v>0.0</v>
      </c>
      <c r="O28" s="18">
        <v>5.0</v>
      </c>
      <c r="P28" s="19">
        <v>0.0</v>
      </c>
      <c r="Q28" s="18">
        <v>0.0</v>
      </c>
      <c r="R28" s="19">
        <v>0.0</v>
      </c>
      <c r="S28" s="18">
        <v>0.0</v>
      </c>
      <c r="T28" s="19">
        <v>0.0</v>
      </c>
      <c r="U28" s="39">
        <f t="shared" ref="U28:V28" si="13">+C28+E28+G28+I28+K28+M28+O28+Q28+S28</f>
        <v>9</v>
      </c>
      <c r="V28" s="39">
        <f t="shared" si="13"/>
        <v>0</v>
      </c>
      <c r="W28" s="40">
        <f t="shared" si="12"/>
        <v>9</v>
      </c>
      <c r="X28" s="2"/>
      <c r="Y28" s="2"/>
      <c r="Z28" s="2"/>
      <c r="AA28" s="2"/>
    </row>
    <row r="29" ht="54.0" customHeight="1">
      <c r="A29" s="1"/>
      <c r="B29" s="38" t="s">
        <v>36</v>
      </c>
      <c r="C29" s="41">
        <f t="shared" ref="C29:T29" si="14">SUM(C26:C28)</f>
        <v>35</v>
      </c>
      <c r="D29" s="41">
        <f t="shared" si="14"/>
        <v>17</v>
      </c>
      <c r="E29" s="41">
        <f t="shared" si="14"/>
        <v>0</v>
      </c>
      <c r="F29" s="41">
        <f t="shared" si="14"/>
        <v>1</v>
      </c>
      <c r="G29" s="41">
        <f t="shared" si="14"/>
        <v>0</v>
      </c>
      <c r="H29" s="41">
        <f t="shared" si="14"/>
        <v>25</v>
      </c>
      <c r="I29" s="41">
        <f t="shared" si="14"/>
        <v>1</v>
      </c>
      <c r="J29" s="41">
        <f t="shared" si="14"/>
        <v>66</v>
      </c>
      <c r="K29" s="41">
        <f t="shared" si="14"/>
        <v>0</v>
      </c>
      <c r="L29" s="41">
        <f t="shared" si="14"/>
        <v>81</v>
      </c>
      <c r="M29" s="41">
        <f t="shared" si="14"/>
        <v>2</v>
      </c>
      <c r="N29" s="41">
        <f t="shared" si="14"/>
        <v>0</v>
      </c>
      <c r="O29" s="41">
        <f t="shared" si="14"/>
        <v>5</v>
      </c>
      <c r="P29" s="41">
        <f t="shared" si="14"/>
        <v>0</v>
      </c>
      <c r="Q29" s="41">
        <f t="shared" si="14"/>
        <v>0</v>
      </c>
      <c r="R29" s="41">
        <f t="shared" si="14"/>
        <v>40</v>
      </c>
      <c r="S29" s="41">
        <f t="shared" si="14"/>
        <v>0</v>
      </c>
      <c r="T29" s="41">
        <f t="shared" si="14"/>
        <v>5</v>
      </c>
      <c r="U29" s="41">
        <f t="shared" ref="U29:V29" si="15">+U26+U27+U28</f>
        <v>43</v>
      </c>
      <c r="V29" s="41">
        <f t="shared" si="15"/>
        <v>235</v>
      </c>
      <c r="W29" s="40"/>
      <c r="X29" s="2"/>
      <c r="Y29" s="2"/>
      <c r="Z29" s="2"/>
      <c r="AA29" s="2"/>
    </row>
    <row r="30" ht="54.0" customHeight="1">
      <c r="A30" s="1"/>
      <c r="B30" s="42" t="s">
        <v>37</v>
      </c>
      <c r="C30" s="43">
        <f>+C29+D29</f>
        <v>52</v>
      </c>
      <c r="D30" s="44"/>
      <c r="E30" s="43">
        <f>+E29+F29</f>
        <v>1</v>
      </c>
      <c r="F30" s="44"/>
      <c r="G30" s="43">
        <f>+G29+H29</f>
        <v>25</v>
      </c>
      <c r="H30" s="44"/>
      <c r="I30" s="43">
        <f>+I29+J29</f>
        <v>67</v>
      </c>
      <c r="J30" s="44"/>
      <c r="K30" s="43">
        <f>+K29+L29</f>
        <v>81</v>
      </c>
      <c r="L30" s="44"/>
      <c r="M30" s="43">
        <f>+M29+N29</f>
        <v>2</v>
      </c>
      <c r="N30" s="44"/>
      <c r="O30" s="43">
        <f>+O29+P29</f>
        <v>5</v>
      </c>
      <c r="P30" s="44"/>
      <c r="Q30" s="43">
        <f>+Q29+R29</f>
        <v>40</v>
      </c>
      <c r="R30" s="44"/>
      <c r="S30" s="43">
        <f>+S29+T29</f>
        <v>5</v>
      </c>
      <c r="T30" s="44"/>
      <c r="U30" s="43">
        <f>+U29+V29</f>
        <v>278</v>
      </c>
      <c r="V30" s="44"/>
      <c r="W30" s="2"/>
      <c r="X30" s="2"/>
      <c r="Y30" s="2"/>
      <c r="Z30" s="2"/>
      <c r="AA30" s="2"/>
    </row>
    <row r="31" ht="54.0" customHeight="1">
      <c r="A31" s="1"/>
      <c r="B31" s="1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54.0" customHeight="1">
      <c r="A32" s="1"/>
      <c r="B32" s="26" t="s">
        <v>38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54.0" customHeight="1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54.0" hidden="1" customHeight="1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46.25" customHeight="1">
      <c r="A35" s="1"/>
      <c r="B35" s="11" t="s">
        <v>39</v>
      </c>
      <c r="C35" s="7"/>
      <c r="D35" s="7"/>
      <c r="E35" s="8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87.0" customHeight="1">
      <c r="A36" s="1"/>
      <c r="B36" s="12" t="s">
        <v>9</v>
      </c>
      <c r="C36" s="45" t="s">
        <v>10</v>
      </c>
      <c r="D36" s="45" t="s">
        <v>14</v>
      </c>
      <c r="E36" s="15" t="s">
        <v>40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54.0" customHeight="1">
      <c r="A37" s="1"/>
      <c r="B37" s="17" t="s">
        <v>16</v>
      </c>
      <c r="C37" s="46">
        <f t="shared" ref="C37:D37" si="16">+M14-U26</f>
        <v>1</v>
      </c>
      <c r="D37" s="46">
        <f t="shared" si="16"/>
        <v>267</v>
      </c>
      <c r="E37" s="20">
        <f t="shared" ref="E37:E39" si="18">+SUM(C37:D37)</f>
        <v>268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57.0" customHeight="1">
      <c r="A38" s="1"/>
      <c r="B38" s="17" t="s">
        <v>17</v>
      </c>
      <c r="C38" s="46">
        <f t="shared" ref="C38:D38" si="17">+M15-U27</f>
        <v>0</v>
      </c>
      <c r="D38" s="46">
        <f t="shared" si="17"/>
        <v>75</v>
      </c>
      <c r="E38" s="20">
        <f t="shared" si="18"/>
        <v>75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54.0" customHeight="1">
      <c r="A39" s="1"/>
      <c r="B39" s="17" t="s">
        <v>18</v>
      </c>
      <c r="C39" s="46">
        <f t="shared" ref="C39:D39" si="19">+M16-U28</f>
        <v>0</v>
      </c>
      <c r="D39" s="46">
        <f t="shared" si="19"/>
        <v>0</v>
      </c>
      <c r="E39" s="20">
        <f t="shared" si="18"/>
        <v>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54.0" customHeight="1">
      <c r="A40" s="1"/>
      <c r="B40" s="12" t="s">
        <v>19</v>
      </c>
      <c r="C40" s="23">
        <f t="shared" ref="C40:D40" si="20">SUM(C37:C39)</f>
        <v>1</v>
      </c>
      <c r="D40" s="23">
        <f t="shared" si="20"/>
        <v>342</v>
      </c>
      <c r="E40" s="24">
        <f>+C40+D40</f>
        <v>343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54.0" customHeight="1">
      <c r="A41" s="1"/>
      <c r="B41" s="47"/>
      <c r="C41" s="47"/>
      <c r="D41" s="48"/>
      <c r="E41" s="48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54.0" customHeight="1">
      <c r="A42" s="1"/>
      <c r="B42" s="49" t="s">
        <v>41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54.0" customHeight="1">
      <c r="A43" s="1"/>
      <c r="B43" s="27" t="s">
        <v>42</v>
      </c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"/>
      <c r="X43" s="2"/>
      <c r="Y43" s="2"/>
      <c r="Z43" s="2"/>
      <c r="AA43" s="2"/>
    </row>
    <row r="44" ht="54.0" hidden="1" customHeight="1">
      <c r="A44" s="1"/>
      <c r="B44" s="2" t="s">
        <v>43</v>
      </c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"/>
      <c r="X44" s="2"/>
      <c r="Y44" s="2"/>
      <c r="Z44" s="2"/>
      <c r="AA44" s="2"/>
    </row>
    <row r="45" ht="51.75" hidden="1" customHeight="1">
      <c r="A45" s="1"/>
      <c r="B45" s="27" t="s">
        <v>44</v>
      </c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"/>
      <c r="X45" s="2"/>
      <c r="Y45" s="2"/>
      <c r="Z45" s="2"/>
      <c r="AA45" s="2"/>
    </row>
    <row r="46" ht="54.0" customHeight="1">
      <c r="A46" s="1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"/>
      <c r="X46" s="2"/>
      <c r="Y46" s="2"/>
      <c r="Z46" s="2"/>
      <c r="AA46" s="2"/>
    </row>
    <row r="47" ht="54.0" customHeight="1">
      <c r="A47" s="1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"/>
      <c r="X47" s="2"/>
      <c r="Y47" s="2"/>
      <c r="Z47" s="2"/>
      <c r="AA47" s="2"/>
    </row>
    <row r="48" ht="54.0" customHeight="1">
      <c r="A48" s="1"/>
      <c r="B48" s="50" t="s">
        <v>45</v>
      </c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44"/>
      <c r="T48" s="27"/>
      <c r="U48" s="27"/>
      <c r="V48" s="27"/>
      <c r="W48" s="2"/>
      <c r="X48" s="2"/>
      <c r="Y48" s="2"/>
      <c r="Z48" s="2"/>
      <c r="AA48" s="2"/>
    </row>
    <row r="49" ht="54.0" customHeight="1">
      <c r="A49" s="1"/>
      <c r="B49" s="52" t="s">
        <v>46</v>
      </c>
      <c r="C49" s="53"/>
      <c r="D49" s="54"/>
      <c r="E49" s="55"/>
      <c r="F49" s="56" t="s">
        <v>47</v>
      </c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8"/>
      <c r="T49" s="2"/>
      <c r="U49" s="2"/>
      <c r="V49" s="2"/>
      <c r="W49" s="2"/>
      <c r="X49" s="2"/>
      <c r="Y49" s="2"/>
      <c r="Z49" s="2"/>
      <c r="AA49" s="2"/>
    </row>
    <row r="50" ht="54.0" customHeight="1">
      <c r="A50" s="1"/>
      <c r="B50" s="59"/>
      <c r="D50" s="60"/>
      <c r="E50" s="61"/>
      <c r="F50" s="62" t="s">
        <v>48</v>
      </c>
      <c r="G50" s="63"/>
      <c r="H50" s="64" t="s">
        <v>49</v>
      </c>
      <c r="I50" s="63"/>
      <c r="J50" s="64" t="s">
        <v>50</v>
      </c>
      <c r="K50" s="65"/>
      <c r="L50" s="63"/>
      <c r="M50" s="66" t="s">
        <v>51</v>
      </c>
      <c r="N50" s="65"/>
      <c r="O50" s="63"/>
      <c r="P50" s="66" t="s">
        <v>52</v>
      </c>
      <c r="Q50" s="65"/>
      <c r="R50" s="63"/>
      <c r="S50" s="67" t="s">
        <v>19</v>
      </c>
      <c r="T50" s="2"/>
      <c r="U50" s="2"/>
      <c r="V50" s="2"/>
      <c r="W50" s="2"/>
      <c r="X50" s="2"/>
      <c r="Y50" s="2"/>
      <c r="Z50" s="2"/>
      <c r="AA50" s="2"/>
    </row>
    <row r="51" ht="54.0" customHeight="1">
      <c r="A51" s="1"/>
      <c r="B51" s="59"/>
      <c r="D51" s="60"/>
      <c r="E51" s="61"/>
      <c r="F51" s="59"/>
      <c r="G51" s="68"/>
      <c r="H51" s="69"/>
      <c r="I51" s="68"/>
      <c r="J51" s="69"/>
      <c r="L51" s="68"/>
      <c r="M51" s="69"/>
      <c r="O51" s="68"/>
      <c r="P51" s="69"/>
      <c r="R51" s="68"/>
      <c r="S51" s="70"/>
      <c r="T51" s="2"/>
      <c r="U51" s="2"/>
      <c r="V51" s="2"/>
      <c r="W51" s="2"/>
      <c r="X51" s="2"/>
      <c r="Y51" s="2"/>
      <c r="Z51" s="2"/>
      <c r="AA51" s="2"/>
    </row>
    <row r="52" ht="54.0" customHeight="1">
      <c r="A52" s="1"/>
      <c r="B52" s="71"/>
      <c r="C52" s="72"/>
      <c r="D52" s="73"/>
      <c r="E52" s="61"/>
      <c r="F52" s="74"/>
      <c r="G52" s="75"/>
      <c r="H52" s="76"/>
      <c r="I52" s="75"/>
      <c r="J52" s="76"/>
      <c r="K52" s="77"/>
      <c r="L52" s="75"/>
      <c r="M52" s="76"/>
      <c r="N52" s="77"/>
      <c r="O52" s="75"/>
      <c r="P52" s="76"/>
      <c r="Q52" s="77"/>
      <c r="R52" s="75"/>
      <c r="S52" s="78"/>
      <c r="T52" s="2"/>
      <c r="U52" s="2"/>
      <c r="V52" s="2"/>
      <c r="W52" s="2"/>
      <c r="X52" s="2"/>
      <c r="Y52" s="2"/>
      <c r="Z52" s="2"/>
      <c r="AA52" s="2"/>
    </row>
    <row r="53" ht="54.0" customHeight="1">
      <c r="A53" s="1"/>
      <c r="B53" s="79">
        <v>25.0</v>
      </c>
      <c r="C53" s="7"/>
      <c r="D53" s="8"/>
      <c r="E53" s="80"/>
      <c r="F53" s="81">
        <v>10.0</v>
      </c>
      <c r="G53" s="82"/>
      <c r="H53" s="83">
        <v>0.0</v>
      </c>
      <c r="I53" s="82"/>
      <c r="J53" s="83">
        <v>15.0</v>
      </c>
      <c r="K53" s="84"/>
      <c r="L53" s="82"/>
      <c r="M53" s="83">
        <v>0.0</v>
      </c>
      <c r="N53" s="84"/>
      <c r="O53" s="82"/>
      <c r="P53" s="83">
        <v>0.0</v>
      </c>
      <c r="Q53" s="84"/>
      <c r="R53" s="82"/>
      <c r="S53" s="85">
        <f>+F53+H53+J53+M53+P53</f>
        <v>25</v>
      </c>
      <c r="T53" s="2"/>
      <c r="U53" s="2"/>
      <c r="V53" s="2"/>
      <c r="W53" s="2"/>
      <c r="X53" s="2"/>
      <c r="Y53" s="2"/>
      <c r="Z53" s="2"/>
      <c r="AA53" s="2"/>
    </row>
    <row r="54" ht="54.0" customHeight="1">
      <c r="A54" s="1"/>
      <c r="B54" s="26" t="s">
        <v>53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54.0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54.0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54.0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54.0" customHeight="1">
      <c r="A58" s="1"/>
      <c r="B58" s="28" t="s">
        <v>54</v>
      </c>
      <c r="C58" s="7"/>
      <c r="D58" s="8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54.0" customHeight="1">
      <c r="A59" s="1"/>
      <c r="B59" s="86" t="s">
        <v>55</v>
      </c>
      <c r="C59" s="7"/>
      <c r="D59" s="8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54.0" customHeight="1">
      <c r="A60" s="1"/>
      <c r="B60" s="87" t="s">
        <v>56</v>
      </c>
      <c r="C60" s="8"/>
      <c r="D60" s="19">
        <v>8.0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54.0" customHeight="1">
      <c r="A61" s="1"/>
      <c r="B61" s="87" t="s">
        <v>57</v>
      </c>
      <c r="C61" s="8"/>
      <c r="D61" s="19">
        <v>0.0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54.0" customHeight="1">
      <c r="A62" s="1"/>
      <c r="B62" s="88" t="s">
        <v>19</v>
      </c>
      <c r="C62" s="8"/>
      <c r="D62" s="20">
        <f>SUM(D59:D61)</f>
        <v>8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54.0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54.0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54.0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87.0" customHeight="1">
      <c r="A66" s="1"/>
      <c r="B66" s="89" t="s">
        <v>58</v>
      </c>
      <c r="C66" s="7"/>
      <c r="D66" s="7"/>
      <c r="E66" s="7"/>
      <c r="F66" s="90"/>
      <c r="G66" s="91" t="s">
        <v>59</v>
      </c>
      <c r="H66" s="8"/>
      <c r="I66" s="1"/>
      <c r="J66" s="1"/>
      <c r="K66" s="1"/>
      <c r="L66" s="1"/>
      <c r="M66" s="1"/>
      <c r="N66" s="1"/>
      <c r="O66" s="1"/>
      <c r="P66" s="1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54.0" customHeight="1">
      <c r="A67" s="1"/>
      <c r="B67" s="92" t="s">
        <v>60</v>
      </c>
      <c r="C67" s="7"/>
      <c r="D67" s="7"/>
      <c r="E67" s="7"/>
      <c r="F67" s="90"/>
      <c r="G67" s="79">
        <v>0.0</v>
      </c>
      <c r="H67" s="8"/>
      <c r="I67" s="1"/>
      <c r="J67" s="1"/>
      <c r="K67" s="1"/>
      <c r="L67" s="1"/>
      <c r="M67" s="1"/>
      <c r="N67" s="1"/>
      <c r="O67" s="1"/>
      <c r="P67" s="1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54.0" customHeight="1">
      <c r="A68" s="1"/>
      <c r="B68" s="92" t="s">
        <v>61</v>
      </c>
      <c r="C68" s="7"/>
      <c r="D68" s="7"/>
      <c r="E68" s="7"/>
      <c r="F68" s="90"/>
      <c r="G68" s="79">
        <v>0.0</v>
      </c>
      <c r="H68" s="8"/>
      <c r="I68" s="1"/>
      <c r="J68" s="1"/>
      <c r="K68" s="1"/>
      <c r="L68" s="1"/>
      <c r="M68" s="1"/>
      <c r="N68" s="1"/>
      <c r="O68" s="1"/>
      <c r="P68" s="1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54.0" customHeight="1">
      <c r="A69" s="1"/>
      <c r="B69" s="92" t="s">
        <v>62</v>
      </c>
      <c r="C69" s="7"/>
      <c r="D69" s="7"/>
      <c r="E69" s="7"/>
      <c r="F69" s="90"/>
      <c r="G69" s="79">
        <v>0.0</v>
      </c>
      <c r="H69" s="8"/>
      <c r="I69" s="1"/>
      <c r="J69" s="1"/>
      <c r="K69" s="1"/>
      <c r="L69" s="1"/>
      <c r="M69" s="1"/>
      <c r="N69" s="1"/>
      <c r="O69" s="1"/>
      <c r="P69" s="1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54.0" customHeight="1">
      <c r="A70" s="1"/>
      <c r="B70" s="92" t="s">
        <v>63</v>
      </c>
      <c r="C70" s="7"/>
      <c r="D70" s="7"/>
      <c r="E70" s="7"/>
      <c r="F70" s="90"/>
      <c r="G70" s="79">
        <v>0.0</v>
      </c>
      <c r="H70" s="8"/>
      <c r="I70" s="1"/>
      <c r="J70" s="1"/>
      <c r="K70" s="1"/>
      <c r="L70" s="1"/>
      <c r="M70" s="1"/>
      <c r="N70" s="1"/>
      <c r="O70" s="1"/>
      <c r="P70" s="1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54.0" customHeight="1">
      <c r="A71" s="1"/>
      <c r="B71" s="92" t="s">
        <v>64</v>
      </c>
      <c r="C71" s="7"/>
      <c r="D71" s="7"/>
      <c r="E71" s="7"/>
      <c r="F71" s="90"/>
      <c r="G71" s="79">
        <v>6.0</v>
      </c>
      <c r="H71" s="8"/>
      <c r="I71" s="1"/>
      <c r="J71" s="1"/>
      <c r="K71" s="1"/>
      <c r="L71" s="1"/>
      <c r="M71" s="1"/>
      <c r="N71" s="1"/>
      <c r="O71" s="1"/>
      <c r="P71" s="1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54.0" customHeight="1">
      <c r="A72" s="1"/>
      <c r="B72" s="92" t="s">
        <v>65</v>
      </c>
      <c r="C72" s="7"/>
      <c r="D72" s="7"/>
      <c r="E72" s="7"/>
      <c r="F72" s="90"/>
      <c r="G72" s="79">
        <v>11.0</v>
      </c>
      <c r="H72" s="8"/>
      <c r="I72" s="1"/>
      <c r="J72" s="1"/>
      <c r="K72" s="1"/>
      <c r="L72" s="1"/>
      <c r="M72" s="1"/>
      <c r="N72" s="1"/>
      <c r="O72" s="1"/>
      <c r="P72" s="1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54.0" customHeight="1">
      <c r="A73" s="1"/>
      <c r="B73" s="92" t="s">
        <v>66</v>
      </c>
      <c r="C73" s="7"/>
      <c r="D73" s="7"/>
      <c r="E73" s="7"/>
      <c r="F73" s="90"/>
      <c r="G73" s="79">
        <v>2.0</v>
      </c>
      <c r="H73" s="8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54.0" customHeight="1">
      <c r="A74" s="1"/>
      <c r="B74" s="88" t="s">
        <v>19</v>
      </c>
      <c r="C74" s="7"/>
      <c r="D74" s="7"/>
      <c r="E74" s="7"/>
      <c r="F74" s="8"/>
      <c r="G74" s="93">
        <f>SUM(G67:G73)</f>
        <v>19</v>
      </c>
      <c r="H74" s="8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24.0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24.0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24.0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2.7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2.7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20.2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24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23.2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2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2.7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2.7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2.7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2.7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2.7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2.7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2.7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2.7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2.7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2.7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2.7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2.7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2.7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2.7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2.7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2.7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2.7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2.7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2.7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2.7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2.7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2.7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2.7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2.7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2.7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2.7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2.7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2.7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2.7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2.7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2.7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2.7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2.7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2.7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2.7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2.7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2.7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2.7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2.7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2.7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2.7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2.7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2.7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2.7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2.7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2.7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2.7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2.7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2.7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2.7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2.7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2.7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2.7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2.7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2.7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2.7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2.7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2.7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2.7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2.7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2.7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2.7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2.7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2.7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2.7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2.7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2.7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2.7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2.7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2.7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2.7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2.7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2.7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2.7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2.7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2.7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2.7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2.7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2.7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2.7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2.7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2.7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2.7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2.7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2.7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2.7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2.7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2.7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2.7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2.7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2.7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2.7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2.7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2.7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2.7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2.7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2.7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2.7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2.7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2.7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2.7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2.7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2.7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2.7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2.7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2.7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2.7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2.7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2.7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2.7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2.7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2.7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2.7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2.7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2.7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2.7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2.7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2.7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2.7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2.7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2.7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2.75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2.75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2.75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2.75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2.75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2.75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2.75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2.75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2.75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2.75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2.75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2.75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2.75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2.75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2.75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2.75" customHeight="1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2.75" customHeight="1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2.75" customHeight="1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2.75" customHeight="1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2.75" customHeight="1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2.75" customHeight="1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2.75" customHeight="1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2.75" customHeight="1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2.75" customHeight="1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2.75" customHeight="1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2.75" customHeight="1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2.75" customHeight="1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2.75" customHeight="1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2.75" customHeight="1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2.75" customHeight="1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2.75" customHeight="1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2.75" customHeight="1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2.75" customHeight="1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2.75" customHeight="1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2.75" customHeight="1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2.75" customHeight="1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2.75" customHeight="1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2.75" customHeight="1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2.75" customHeight="1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2.75" customHeight="1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2.75" customHeight="1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2.75" customHeight="1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2.75" customHeight="1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2.75" customHeight="1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2.75" customHeight="1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2.75" customHeight="1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2.75" customHeight="1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2.75" customHeight="1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2.75" customHeight="1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2.75" customHeight="1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2.75" customHeight="1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5.75" customHeight="1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5.75" customHeight="1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5.75" customHeight="1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5.75" customHeight="1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5.75" customHeight="1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5.75" customHeight="1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5.75" customHeight="1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5.75" customHeight="1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5.75" customHeight="1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5.75" customHeight="1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5.75" customHeight="1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5.75" customHeight="1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5.75" customHeight="1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5.75" customHeight="1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5.75" customHeight="1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5.75" customHeight="1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5.75" customHeight="1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5.75" customHeight="1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5.75" customHeight="1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5.75" customHeight="1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5.75" customHeight="1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5.75" customHeight="1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5.75" customHeight="1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5.75" customHeight="1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5.75" customHeight="1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5.75" customHeight="1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5.75" customHeight="1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5.75" customHeight="1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5.75" customHeight="1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5.75" customHeight="1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5.75" customHeight="1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5.75" customHeight="1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5.75" customHeight="1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5.75" customHeight="1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5.75" customHeight="1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5.75" customHeight="1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5.75" customHeight="1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5.75" customHeight="1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5.75" customHeight="1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5.75" customHeight="1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5.75" customHeight="1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5.75" customHeight="1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5.75" customHeight="1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5.75" customHeight="1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5.75" customHeight="1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5.75" customHeight="1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5.75" customHeight="1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5.75" customHeight="1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5.75" customHeight="1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5.75" customHeight="1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5.75" customHeight="1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5.75" customHeight="1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5.75" customHeight="1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5.75" customHeight="1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5.75" customHeight="1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5.75" customHeight="1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5.75" customHeight="1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5.75" customHeight="1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5.75" customHeight="1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5.75" customHeight="1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5.75" customHeight="1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5.75" customHeight="1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5.75" customHeight="1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5.75" customHeight="1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5.75" customHeight="1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5.75" customHeight="1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5.75" customHeight="1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5.75" customHeight="1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5.75" customHeight="1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5.75" customHeight="1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5.75" customHeight="1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5.75" customHeight="1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5.75" customHeight="1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5.75" customHeight="1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5.75" customHeight="1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5.75" customHeight="1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5.75" customHeight="1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5.75" customHeight="1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5.75" customHeight="1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5.75" customHeight="1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5.75" customHeight="1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5.75" customHeight="1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5.75" customHeight="1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5.75" customHeight="1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5.75" customHeight="1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5.75" customHeight="1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5.75" customHeight="1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5.75" customHeight="1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5.75" customHeight="1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5.75" customHeight="1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5.75" customHeight="1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5.75" customHeight="1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5.75" customHeight="1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5.75" customHeight="1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5.75" customHeight="1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5.75" customHeight="1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5.75" customHeight="1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5.75" customHeight="1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5.75" customHeight="1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5.75" customHeight="1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5.75" customHeight="1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5.75" customHeight="1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5.75" customHeight="1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5.75" customHeight="1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5.75" customHeight="1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5.75" customHeight="1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5.75" customHeight="1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5.75" customHeight="1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5.75" customHeight="1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5.75" customHeight="1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5.75" customHeight="1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5.75" customHeight="1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5.75" customHeight="1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5.75" customHeight="1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5.75" customHeight="1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5.75" customHeight="1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5.75" customHeight="1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5.75" customHeight="1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5.75" customHeight="1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5.75" customHeight="1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5.75" customHeight="1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5.75" customHeight="1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5.75" customHeight="1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5.75" customHeight="1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5.75" customHeight="1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5.75" customHeight="1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5.75" customHeight="1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5.75" customHeight="1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5.75" customHeight="1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5.75" customHeight="1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5.75" customHeight="1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5.75" customHeight="1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5.75" customHeight="1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5.75" customHeight="1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5.75" customHeight="1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5.75" customHeight="1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5.75" customHeight="1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5.75" customHeight="1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5.75" customHeight="1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5.75" customHeight="1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5.75" customHeight="1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5.75" customHeight="1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5.75" customHeight="1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5.75" customHeight="1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5.75" customHeight="1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5.75" customHeight="1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5.75" customHeight="1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5.75" customHeight="1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5.75" customHeight="1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5.75" customHeight="1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5.75" customHeight="1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5.75" customHeight="1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5.75" customHeight="1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5.75" customHeight="1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5.75" customHeight="1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5.75" customHeight="1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5.75" customHeight="1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5.75" customHeight="1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5.75" customHeight="1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5.75" customHeight="1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5.75" customHeight="1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5.75" customHeight="1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5.75" customHeight="1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5.75" customHeight="1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5.75" customHeight="1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5.75" customHeight="1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5.75" customHeight="1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5.75" customHeight="1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5.75" customHeight="1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5.75" customHeight="1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5.75" customHeight="1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5.75" customHeight="1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5.75" customHeight="1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5.75" customHeight="1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5.75" customHeight="1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5.75" customHeight="1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5.75" customHeight="1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5.75" customHeight="1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5.75" customHeight="1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5.75" customHeight="1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5.75" customHeight="1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5.75" customHeight="1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5.75" customHeight="1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5.75" customHeight="1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5.75" customHeight="1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5.75" customHeight="1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5.75" customHeight="1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5.75" customHeight="1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5.75" customHeight="1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5.75" customHeight="1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5.75" customHeight="1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5.75" customHeight="1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5.75" customHeight="1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5.75" customHeight="1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5.75" customHeight="1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5.75" customHeight="1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5.75" customHeight="1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5.75" customHeight="1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5.75" customHeight="1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5.75" customHeight="1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5.75" customHeight="1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5.75" customHeight="1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5.75" customHeight="1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5.75" customHeight="1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5.75" customHeight="1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5.75" customHeight="1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5.75" customHeight="1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5.75" customHeight="1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5.75" customHeight="1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5.75" customHeight="1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5.75" customHeight="1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5.75" customHeight="1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5.75" customHeight="1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5.75" customHeight="1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5.75" customHeight="1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5.75" customHeight="1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5.75" customHeight="1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5.75" customHeight="1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5.75" customHeight="1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5.75" customHeight="1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5.75" customHeight="1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5.75" customHeight="1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5.75" customHeight="1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5.75" customHeight="1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5.75" customHeight="1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5.75" customHeight="1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5.75" customHeight="1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5.75" customHeight="1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5.75" customHeight="1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5.75" customHeight="1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5.75" customHeight="1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5.75" customHeight="1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5.75" customHeight="1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5.75" customHeight="1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5.75" customHeight="1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5.75" customHeight="1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5.75" customHeight="1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5.75" customHeight="1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5.75" customHeight="1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5.75" customHeight="1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5.75" customHeight="1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5.75" customHeight="1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5.75" customHeight="1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5.75" customHeight="1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5.75" customHeight="1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5.75" customHeight="1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5.75" customHeight="1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5.75" customHeight="1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5.75" customHeight="1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5.75" customHeight="1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5.75" customHeight="1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5.75" customHeight="1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5.75" customHeight="1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5.75" customHeight="1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5.75" customHeight="1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5.75" customHeight="1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5.75" customHeight="1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5.75" customHeight="1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5.75" customHeight="1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5.75" customHeight="1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5.75" customHeight="1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5.75" customHeight="1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5.75" customHeight="1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5.75" customHeight="1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5.75" customHeight="1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5.75" customHeight="1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5.75" customHeight="1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5.75" customHeight="1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5.75" customHeight="1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5.75" customHeight="1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5.75" customHeight="1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5.75" customHeight="1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5.75" customHeight="1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5.75" customHeight="1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5.75" customHeight="1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5.75" customHeight="1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5.75" customHeight="1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5.75" customHeight="1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5.75" customHeight="1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5.75" customHeight="1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5.75" customHeight="1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5.75" customHeight="1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5.75" customHeight="1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5.75" customHeight="1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5.75" customHeight="1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5.75" customHeight="1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5.75" customHeight="1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5.75" customHeight="1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5.75" customHeight="1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5.75" customHeight="1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5.75" customHeight="1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5.75" customHeight="1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5.75" customHeight="1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5.75" customHeight="1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5.75" customHeight="1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5.75" customHeight="1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5.75" customHeight="1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5.75" customHeight="1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5.75" customHeight="1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5.75" customHeight="1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5.75" customHeight="1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5.75" customHeight="1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5.75" customHeight="1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5.75" customHeight="1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5.75" customHeight="1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5.75" customHeight="1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5.75" customHeight="1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5.75" customHeight="1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5.75" customHeight="1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5.75" customHeight="1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5.75" customHeight="1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5.75" customHeight="1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5.75" customHeight="1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5.75" customHeight="1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5.75" customHeight="1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5.75" customHeight="1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5.75" customHeight="1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5.75" customHeight="1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5.75" customHeight="1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5.75" customHeight="1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5.75" customHeight="1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5.75" customHeight="1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5.75" customHeight="1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5.75" customHeight="1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5.75" customHeight="1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5.75" customHeight="1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5.75" customHeight="1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5.75" customHeight="1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5.75" customHeight="1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5.75" customHeight="1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5.75" customHeight="1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5.75" customHeight="1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5.75" customHeight="1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5.75" customHeight="1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5.75" customHeight="1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5.75" customHeight="1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5.75" customHeight="1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5.75" customHeight="1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5.75" customHeight="1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5.75" customHeight="1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5.75" customHeight="1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5.75" customHeight="1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5.75" customHeight="1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5.75" customHeight="1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5.75" customHeight="1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5.75" customHeight="1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5.75" customHeight="1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5.75" customHeight="1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5.75" customHeight="1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5.75" customHeight="1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5.75" customHeight="1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5.75" customHeight="1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5.75" customHeight="1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5.75" customHeight="1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5.75" customHeight="1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5.75" customHeight="1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5.75" customHeight="1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5.75" customHeight="1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5.75" customHeight="1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5.75" customHeight="1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5.75" customHeight="1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5.75" customHeight="1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5.75" customHeight="1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5.75" customHeight="1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5.75" customHeight="1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5.75" customHeight="1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5.75" customHeight="1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5.75" customHeight="1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5.75" customHeight="1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5.75" customHeight="1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5.75" customHeight="1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5.75" customHeight="1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5.75" customHeight="1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5.75" customHeight="1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5.75" customHeight="1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5.75" customHeight="1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5.75" customHeight="1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5.75" customHeight="1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5.75" customHeight="1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5.75" customHeight="1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5.75" customHeight="1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5.75" customHeight="1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5.75" customHeight="1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5.75" customHeight="1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5.75" customHeight="1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5.75" customHeight="1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5.75" customHeight="1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5.75" customHeight="1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5.75" customHeight="1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5.75" customHeight="1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5.75" customHeight="1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5.75" customHeight="1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5.75" customHeight="1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5.75" customHeight="1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5.75" customHeight="1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5.75" customHeight="1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5.75" customHeight="1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5.75" customHeight="1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5.75" customHeight="1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5.75" customHeight="1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5.75" customHeight="1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5.75" customHeight="1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5.75" customHeight="1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5.75" customHeight="1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5.75" customHeight="1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5.75" customHeight="1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5.75" customHeight="1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5.75" customHeight="1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5.75" customHeight="1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5.75" customHeight="1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5.75" customHeight="1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5.75" customHeight="1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5.75" customHeight="1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5.75" customHeight="1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5.75" customHeight="1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5.75" customHeight="1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5.75" customHeight="1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5.75" customHeight="1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5.75" customHeight="1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5.75" customHeight="1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5.75" customHeight="1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5.75" customHeight="1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5.75" customHeight="1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5.75" customHeight="1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5.75" customHeight="1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5.75" customHeight="1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5.75" customHeight="1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5.75" customHeight="1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5.75" customHeight="1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5.75" customHeight="1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5.75" customHeight="1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5.75" customHeight="1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5.75" customHeight="1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5.75" customHeight="1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5.75" customHeight="1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5.75" customHeight="1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5.75" customHeight="1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5.75" customHeight="1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5.75" customHeight="1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5.75" customHeight="1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5.75" customHeight="1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5.75" customHeight="1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5.75" customHeight="1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5.75" customHeight="1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5.75" customHeight="1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5.75" customHeight="1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5.75" customHeight="1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5.75" customHeight="1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5.75" customHeight="1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5.75" customHeight="1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5.75" customHeight="1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5.75" customHeight="1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5.75" customHeight="1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5.75" customHeight="1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5.75" customHeight="1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5.75" customHeight="1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5.75" customHeight="1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5.75" customHeight="1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5.75" customHeight="1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5.75" customHeight="1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5.75" customHeight="1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5.75" customHeight="1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5.75" customHeight="1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5.75" customHeight="1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5.75" customHeight="1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5.75" customHeight="1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5.75" customHeight="1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5.75" customHeight="1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5.75" customHeight="1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5.75" customHeight="1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5.75" customHeight="1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5.75" customHeight="1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5.75" customHeight="1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5.75" customHeight="1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5.75" customHeight="1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5.75" customHeight="1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5.75" customHeight="1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5.75" customHeight="1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5.75" customHeight="1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5.75" customHeight="1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5.75" customHeight="1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5.75" customHeight="1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5.75" customHeight="1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5.75" customHeight="1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5.75" customHeight="1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5.75" customHeight="1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5.75" customHeight="1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5.75" customHeight="1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5.75" customHeight="1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5.75" customHeight="1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5.75" customHeight="1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5.75" customHeight="1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5.75" customHeight="1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5.75" customHeight="1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5.75" customHeight="1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5.75" customHeight="1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5.75" customHeight="1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5.75" customHeight="1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5.75" customHeight="1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5.75" customHeight="1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5.75" customHeight="1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5.75" customHeight="1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5.75" customHeight="1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5.75" customHeight="1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5.75" customHeight="1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5.75" customHeight="1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5.75" customHeight="1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5.75" customHeight="1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5.75" customHeight="1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5.75" customHeight="1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5.75" customHeight="1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5.75" customHeight="1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5.75" customHeight="1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5.75" customHeight="1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5.75" customHeight="1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5.75" customHeight="1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5.75" customHeight="1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5.75" customHeight="1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5.75" customHeight="1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5.75" customHeight="1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5.75" customHeight="1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5.75" customHeight="1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5.75" customHeight="1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5.75" customHeight="1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5.75" customHeight="1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5.75" customHeight="1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5.75" customHeight="1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5.75" customHeight="1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5.75" customHeight="1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5.75" customHeight="1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5.75" customHeight="1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5.75" customHeight="1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5.75" customHeight="1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5.75" customHeight="1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5.75" customHeight="1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5.75" customHeight="1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5.75" customHeight="1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5.75" customHeight="1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5.75" customHeight="1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5.75" customHeight="1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5.75" customHeight="1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5.75" customHeight="1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5.75" customHeight="1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5.75" customHeight="1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5.75" customHeight="1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5.75" customHeight="1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5.75" customHeight="1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5.75" customHeight="1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5.75" customHeight="1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5.75" customHeight="1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5.75" customHeight="1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5.75" customHeight="1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5.75" customHeight="1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5.75" customHeight="1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5.75" customHeight="1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5.75" customHeight="1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5.75" customHeight="1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5.75" customHeight="1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5.75" customHeight="1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5.75" customHeight="1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5.75" customHeight="1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5.75" customHeight="1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5.75" customHeight="1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5.75" customHeight="1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5.75" customHeight="1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5.75" customHeight="1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5.75" customHeight="1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5.75" customHeight="1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5.75" customHeight="1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5.75" customHeight="1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5.75" customHeight="1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5.75" customHeight="1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5.75" customHeight="1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5.75" customHeight="1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5.75" customHeight="1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5.75" customHeight="1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5.75" customHeight="1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5.75" customHeight="1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5.75" customHeight="1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5.75" customHeight="1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5.75" customHeight="1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5.75" customHeight="1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5.75" customHeight="1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5.75" customHeight="1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5.75" customHeight="1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5.75" customHeight="1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5.75" customHeight="1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5.75" customHeight="1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5.75" customHeight="1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5.75" customHeight="1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5.75" customHeight="1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5.75" customHeight="1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5.75" customHeight="1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5.75" customHeight="1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5.75" customHeight="1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5.75" customHeight="1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5.75" customHeight="1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5.75" customHeight="1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5.75" customHeight="1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5.75" customHeight="1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5.75" customHeight="1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5.75" customHeight="1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5.75" customHeight="1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5.75" customHeight="1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5.75" customHeight="1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5.75" customHeight="1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5.75" customHeight="1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5.75" customHeight="1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5.75" customHeight="1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5.75" customHeight="1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5.75" customHeight="1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5.75" customHeight="1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5.75" customHeight="1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5.75" customHeight="1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5.75" customHeight="1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5.75" customHeight="1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5.75" customHeight="1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5.75" customHeight="1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5.75" customHeight="1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5.75" customHeight="1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5.75" customHeight="1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5.75" customHeight="1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5.75" customHeight="1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5.75" customHeight="1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5.75" customHeight="1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5.75" customHeight="1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5.75" customHeight="1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5.75" customHeight="1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5.75" customHeight="1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5.75" customHeight="1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5.75" customHeight="1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5.75" customHeight="1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5.75" customHeight="1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5.75" customHeight="1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5.75" customHeight="1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5.75" customHeight="1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5.75" customHeight="1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5.75" customHeight="1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5.75" customHeight="1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5.75" customHeight="1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5.75" customHeight="1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5.75" customHeight="1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5.75" customHeight="1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5.75" customHeight="1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5.75" customHeight="1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5.75" customHeight="1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5.75" customHeight="1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5.75" customHeight="1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5.75" customHeight="1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5.75" customHeight="1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5.75" customHeight="1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5.75" customHeight="1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5.75" customHeight="1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5.75" customHeight="1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5.75" customHeight="1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5.75" customHeight="1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5.75" customHeight="1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5.75" customHeight="1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5.75" customHeight="1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5.75" customHeight="1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5.75" customHeight="1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5.75" customHeight="1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5.75" customHeight="1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5.75" customHeight="1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5.75" customHeight="1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5.75" customHeight="1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5.75" customHeight="1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5.75" customHeight="1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5.75" customHeight="1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5.75" customHeight="1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5.75" customHeight="1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5.75" customHeight="1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5.75" customHeight="1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5.75" customHeight="1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5.75" customHeight="1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5.75" customHeight="1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5.75" customHeight="1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5.75" customHeight="1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5.75" customHeight="1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5.75" customHeight="1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5.75" customHeight="1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5.75" customHeight="1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5.75" customHeight="1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5.75" customHeight="1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5.75" customHeight="1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5.75" customHeight="1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5.75" customHeight="1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5.75" customHeight="1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5.75" customHeight="1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5.75" customHeight="1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5.75" customHeight="1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5.75" customHeight="1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5.75" customHeight="1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5.75" customHeight="1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5.75" customHeight="1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5.75" customHeight="1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5.75" customHeight="1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5.75" customHeight="1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5.75" customHeight="1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5.75" customHeight="1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5.75" customHeight="1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5.75" customHeight="1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5.75" customHeight="1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5.75" customHeight="1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5.75" customHeight="1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5.75" customHeight="1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5.75" customHeight="1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5.75" customHeight="1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5.75" customHeight="1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5.75" customHeight="1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5.75" customHeight="1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5.75" customHeight="1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5.75" customHeight="1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5.75" customHeight="1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5.75" customHeight="1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5.75" customHeight="1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5.75" customHeight="1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5.75" customHeight="1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5.75" customHeight="1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5.75" customHeight="1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5.75" customHeight="1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15.75" customHeight="1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15.75" customHeight="1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15.75" customHeight="1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ht="15.75" customHeight="1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ht="15.75" customHeight="1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70">
    <mergeCell ref="J50:L52"/>
    <mergeCell ref="M50:O52"/>
    <mergeCell ref="H53:I53"/>
    <mergeCell ref="J53:L53"/>
    <mergeCell ref="M53:O53"/>
    <mergeCell ref="P53:R53"/>
    <mergeCell ref="B35:E35"/>
    <mergeCell ref="B48:S48"/>
    <mergeCell ref="B49:D52"/>
    <mergeCell ref="E49:E53"/>
    <mergeCell ref="F49:S49"/>
    <mergeCell ref="H50:I52"/>
    <mergeCell ref="B53:D53"/>
    <mergeCell ref="F50:G52"/>
    <mergeCell ref="F53:G53"/>
    <mergeCell ref="B58:D58"/>
    <mergeCell ref="B59:D59"/>
    <mergeCell ref="B60:C60"/>
    <mergeCell ref="B61:C61"/>
    <mergeCell ref="B62:C62"/>
    <mergeCell ref="B66:F66"/>
    <mergeCell ref="G66:H66"/>
    <mergeCell ref="B67:F67"/>
    <mergeCell ref="G67:H67"/>
    <mergeCell ref="B68:F68"/>
    <mergeCell ref="G68:H68"/>
    <mergeCell ref="G69:H69"/>
    <mergeCell ref="B73:F73"/>
    <mergeCell ref="G73:H73"/>
    <mergeCell ref="B74:F74"/>
    <mergeCell ref="G74:H74"/>
    <mergeCell ref="B69:F69"/>
    <mergeCell ref="B70:F70"/>
    <mergeCell ref="G70:H70"/>
    <mergeCell ref="B71:F71"/>
    <mergeCell ref="G71:H71"/>
    <mergeCell ref="B72:F72"/>
    <mergeCell ref="G72:H72"/>
    <mergeCell ref="B5:H5"/>
    <mergeCell ref="B6:H6"/>
    <mergeCell ref="B7:H7"/>
    <mergeCell ref="B8:H8"/>
    <mergeCell ref="B12:E12"/>
    <mergeCell ref="G12:J12"/>
    <mergeCell ref="L12:O12"/>
    <mergeCell ref="Q24:R24"/>
    <mergeCell ref="S24:T24"/>
    <mergeCell ref="U24:V24"/>
    <mergeCell ref="W24:W25"/>
    <mergeCell ref="B23:W23"/>
    <mergeCell ref="B24:B25"/>
    <mergeCell ref="C24:D24"/>
    <mergeCell ref="E24:F24"/>
    <mergeCell ref="G24:H24"/>
    <mergeCell ref="I24:J24"/>
    <mergeCell ref="K24:L24"/>
    <mergeCell ref="M30:N30"/>
    <mergeCell ref="O30:P30"/>
    <mergeCell ref="Q30:R30"/>
    <mergeCell ref="S30:T30"/>
    <mergeCell ref="U30:V30"/>
    <mergeCell ref="M24:N24"/>
    <mergeCell ref="O24:P24"/>
    <mergeCell ref="C30:D30"/>
    <mergeCell ref="E30:F30"/>
    <mergeCell ref="G30:H30"/>
    <mergeCell ref="I30:J30"/>
    <mergeCell ref="K30:L30"/>
    <mergeCell ref="P50:R52"/>
    <mergeCell ref="S50:S52"/>
  </mergeCells>
  <dataValidations>
    <dataValidation type="decimal" operator="greaterThanOrEqual" allowBlank="1" showInputMessage="1" showErrorMessage="1" prompt="Caracteres no válidos - Solo se permite valores numéricos." sqref="C14:D16 H14:I16 M14:N16 C26:T28">
      <formula1>0.0</formula1>
    </dataValidation>
    <dataValidation type="decimal" operator="greaterThanOrEqual" allowBlank="1" showInputMessage="1" showErrorMessage="1" prompt="Caracteres no válidos. - Solo se permite valores numéricos." sqref="G67:G73">
      <formula1>0.0</formula1>
    </dataValidation>
    <dataValidation type="decimal" operator="greaterThanOrEqual" allowBlank="1" showInputMessage="1" showErrorMessage="1" prompt="Caracteres no válidos. - Sólo se permiten valores númericos." sqref="B53 F53 H53 J53 M53 P53 D60:D61">
      <formula1>0.0</formula1>
    </dataValidation>
    <dataValidation type="decimal" operator="greaterThanOrEqual" allowBlank="1" sqref="I5:I8">
      <formula1>0.0</formula1>
    </dataValidation>
  </dataValidations>
  <printOptions/>
  <pageMargins bottom="1.02916666666667" footer="0.0" header="0.0" left="0.170833333333333" right="0.116666666666667" top="1.025"/>
  <pageSetup paperSize="14" orientation="landscape"/>
  <headerFooter>
    <oddHeader>&amp;C&amp;A</oddHeader>
    <oddFooter>&amp;CPágina &amp;P</oddFooter>
  </headerFooter>
  <drawing r:id="rId1"/>
</worksheet>
</file>